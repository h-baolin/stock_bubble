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统计表格" sheetId="1" r:id="rId1"/>
    <sheet name="持有计划" sheetId="2" r:id="rId2"/>
    <sheet name="跳过或待确认" sheetId="3" r:id="rId3"/>
    <sheet name="层级关系" sheetId="4" r:id="rId4"/>
  </sheets>
  <calcPr calcId="0" fullCalcOnLoad="1"/>
</workbook>
</file>

<file path=xl/styles.xml><?xml version="1.0" encoding="utf-8"?>
<styleSheet xmlns="http://schemas.openxmlformats.org/spreadsheetml/2006/main">
  <fonts count="1">
    <font>
      <sz val="11"/>
      <name val="Microsoft YaHe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22" customWidth="1"/>
    <col min="3" max="3" width="12" customWidth="1"/>
    <col min="4" max="4" width="12" customWidth="1"/>
    <col min="5" max="5" width="18" customWidth="1"/>
    <col min="6" max="6" width="14" customWidth="1"/>
    <col min="7" max="7" width="34" customWidth="1"/>
    <col min="8" max="8" width="42" customWidth="1"/>
    <col min="9" max="9" width="12" customWidth="1"/>
    <col min="10" max="10" width="14" customWidth="1"/>
    <col min="11" max="11" width="14" customWidth="1"/>
    <col min="12" max="12" width="14" customWidth="1"/>
    <col min="13" max="13" width="14" customWidth="1"/>
    <col min="14" max="14" width="14" customWidth="1"/>
    <col min="15" max="15" width="12" customWidth="1"/>
    <col min="16" max="16" width="20" customWidth="1"/>
    <col min="17" max="17" width="44" customWidth="1"/>
    <col min="18" max="18" width="24" customWidth="1"/>
    <col min="19" max="19" width="14" customWidth="1"/>
    <col min="20" max="20" width="22" customWidth="1"/>
    <col min="21" max="21" width="14" customWidth="1"/>
    <col min="22" max="22" width="16" customWidth="1"/>
  </cols>
  <sheetData>
    <row r="1">
      <c r="A1" t="inlineStr">
        <is>
          <t>添加时间</t>
        </is>
      </c>
      <c r="B1" t="inlineStr">
        <is>
          <t>原始输入</t>
        </is>
      </c>
      <c r="C1" t="inlineStr">
        <is>
          <t>类型</t>
        </is>
      </c>
      <c r="D1" t="inlineStr">
        <is>
          <t>代码</t>
        </is>
      </c>
      <c r="E1" t="inlineStr">
        <is>
          <t>名称</t>
        </is>
      </c>
      <c r="F1" t="inlineStr">
        <is>
          <t>QuoteID</t>
        </is>
      </c>
      <c r="G1" t="inlineStr">
        <is>
          <t>关联主题/挂载</t>
        </is>
      </c>
      <c r="H1" t="inlineStr">
        <is>
          <t>事件/催化</t>
        </is>
      </c>
      <c r="I1" t="inlineStr">
        <is>
          <t>股价</t>
        </is>
      </c>
      <c r="J1" t="inlineStr">
        <is>
          <t>自添加涨幅</t>
        </is>
      </c>
      <c r="K1" t="inlineStr">
        <is>
          <t>近一年涨幅</t>
        </is>
      </c>
      <c r="L1" t="inlineStr">
        <is>
          <t>近6月涨幅</t>
        </is>
      </c>
      <c r="M1" t="inlineStr">
        <is>
          <t>近3月涨幅</t>
        </is>
      </c>
      <c r="N1" t="inlineStr">
        <is>
          <t>近1月涨幅</t>
        </is>
      </c>
      <c r="O1" t="inlineStr">
        <is>
          <t>市值</t>
        </is>
      </c>
      <c r="P1" t="inlineStr">
        <is>
          <t>评级</t>
        </is>
      </c>
      <c r="Q1" t="inlineStr">
        <is>
          <t>风险</t>
        </is>
      </c>
      <c r="R1" t="inlineStr">
        <is>
          <t>基本业务/说明</t>
        </is>
      </c>
      <c r="S1" t="inlineStr">
        <is>
          <t>行业</t>
        </is>
      </c>
      <c r="T1" t="inlineStr">
        <is>
          <t>日线K线图</t>
        </is>
      </c>
      <c r="U1" t="inlineStr">
        <is>
          <t>搜索状态</t>
        </is>
      </c>
      <c r="V1" t="inlineStr">
        <is>
          <t>持有计划</t>
        </is>
      </c>
    </row>
    <row r="2">
      <c r="A2" t="inlineStr">
        <is>
          <t>2026-07-09 12:26</t>
        </is>
      </c>
      <c r="B2" t="inlineStr">
        <is>
          <t>燃气轮机概念/板块</t>
        </is>
      </c>
      <c r="C2" t="inlineStr">
        <is>
          <t>概念/板块</t>
        </is>
      </c>
      <c r="D2" t="inlineStr">
        <is>
          <t>CUSTOM_燃气轮机概念/板块</t>
        </is>
      </c>
      <c r="E2" t="inlineStr">
        <is>
          <t>燃气轮机概念/板块</t>
        </is>
      </c>
      <c r="F2" t="inlineStr">
        <is>
          <t/>
        </is>
      </c>
      <c r="G2" t="inlineStr">
        <is>
          <t>燃气轮机概念/板块</t>
        </is>
      </c>
      <c r="H2" t="inlineStr">
        <is>
          <t/>
        </is>
      </c>
      <c r="I2" t="inlineStr">
        <is>
          <t/>
        </is>
      </c>
      <c r="J2" t="inlineStr">
        <is>
          <t/>
        </is>
      </c>
      <c r="K2" t="inlineStr">
        <is>
          <t/>
        </is>
      </c>
      <c r="L2" t="inlineStr">
        <is>
          <t/>
        </is>
      </c>
      <c r="M2" t="inlineStr">
        <is>
          <t/>
        </is>
      </c>
      <c r="N2" t="inlineStr">
        <is>
          <t/>
        </is>
      </c>
      <c r="O2" t="inlineStr">
        <is>
          <t/>
        </is>
      </c>
      <c r="P2" t="inlineStr">
        <is>
          <t>待评估</t>
        </is>
      </c>
      <c r="Q2" t="inlineStr">
        <is>
          <t>待评估</t>
        </is>
      </c>
      <c r="R2" t="inlineStr">
        <is>
          <t>自定义分类板块，未绑定行情涨跌幅；用于归集相关股票。</t>
        </is>
      </c>
      <c r="S2" t="inlineStr">
        <is>
          <t/>
        </is>
      </c>
      <c r="T2" t="inlineStr">
        <is>
          <t/>
        </is>
      </c>
      <c r="U2" t="inlineStr">
        <is>
          <t>自定义板块（未绑定行情）</t>
        </is>
      </c>
      <c r="V2" t="inlineStr">
        <is>
          <t>观察</t>
        </is>
      </c>
    </row>
    <row r="3">
      <c r="A3" t="inlineStr">
        <is>
          <t>2026-07-09 12:26</t>
        </is>
      </c>
      <c r="B3" t="inlineStr">
        <is>
          <t>商业航天</t>
        </is>
      </c>
      <c r="C3" t="inlineStr">
        <is>
          <t>概念/板块</t>
        </is>
      </c>
      <c r="D3" t="inlineStr">
        <is>
          <t>BK0963</t>
        </is>
      </c>
      <c r="E3" t="inlineStr">
        <is>
          <t>商业航天</t>
        </is>
      </c>
      <c r="F3" t="inlineStr">
        <is>
          <t>90.BK0963</t>
        </is>
      </c>
      <c r="G3" t="inlineStr">
        <is>
          <t>商业航天</t>
        </is>
      </c>
      <c r="H3" t="inlineStr">
        <is>
          <t/>
        </is>
      </c>
      <c r="I3" t="inlineStr">
        <is>
          <t>2471.85</t>
        </is>
      </c>
      <c r="J3" t="inlineStr">
        <is>
          <t>0.00%</t>
        </is>
      </c>
      <c r="K3" t="inlineStr">
        <is>
          <t>42.18%</t>
        </is>
      </c>
      <c r="L3" t="inlineStr">
        <is>
          <t>-11.87%</t>
        </is>
      </c>
      <c r="M3" t="inlineStr">
        <is>
          <t>-5.47%</t>
        </is>
      </c>
      <c r="N3" t="inlineStr">
        <is>
          <t>-7.94%</t>
        </is>
      </c>
      <c r="O3" t="inlineStr">
        <is>
          <t>61326.7亿</t>
        </is>
      </c>
      <c r="P3" t="inlineStr">
        <is>
          <t>强势观察</t>
        </is>
      </c>
      <c r="Q3" t="inlineStr">
        <is>
          <t>中 / 波动30% / 回撤-21%</t>
        </is>
      </c>
      <c r="R3" t="inlineStr">
        <is>
          <t>东方财富概念/行业板块。</t>
        </is>
      </c>
      <c r="S3" t="inlineStr">
        <is>
          <t>-</t>
        </is>
      </c>
      <c r="T3" t="str">
        <f>HYPERLINK("kline_charts/BK0963_商业航天.html","打开K线图")</f>
        <v>打开K线图</v>
      </c>
      <c r="U3" t="inlineStr">
        <is>
          <t>已通过东方财富市场搜索</t>
        </is>
      </c>
      <c r="V3" t="inlineStr">
        <is>
          <t>观察</t>
        </is>
      </c>
    </row>
    <row r="4">
      <c r="A4" t="inlineStr">
        <is>
          <t>2026-07-09 12:26</t>
        </is>
      </c>
      <c r="B4" t="inlineStr">
        <is>
          <t>可回收商业航天</t>
        </is>
      </c>
      <c r="C4" t="inlineStr">
        <is>
          <t>概念/板块</t>
        </is>
      </c>
      <c r="D4" t="inlineStr">
        <is>
          <t>CUSTOM_可回收商业航天</t>
        </is>
      </c>
      <c r="E4" t="inlineStr">
        <is>
          <t>可回收商业航天</t>
        </is>
      </c>
      <c r="F4" t="inlineStr">
        <is>
          <t/>
        </is>
      </c>
      <c r="G4" t="inlineStr">
        <is>
          <t>可回收商业航天</t>
        </is>
      </c>
      <c r="H4" t="inlineStr">
        <is>
          <t/>
        </is>
      </c>
      <c r="I4" t="inlineStr">
        <is>
          <t/>
        </is>
      </c>
      <c r="J4" t="inlineStr">
        <is>
          <t/>
        </is>
      </c>
      <c r="K4" t="inlineStr">
        <is>
          <t/>
        </is>
      </c>
      <c r="L4" t="inlineStr">
        <is>
          <t/>
        </is>
      </c>
      <c r="M4" t="inlineStr">
        <is>
          <t/>
        </is>
      </c>
      <c r="N4" t="inlineStr">
        <is>
          <t/>
        </is>
      </c>
      <c r="O4" t="inlineStr">
        <is>
          <t/>
        </is>
      </c>
      <c r="P4" t="inlineStr">
        <is>
          <t>待评估</t>
        </is>
      </c>
      <c r="Q4" t="inlineStr">
        <is>
          <t>待评估</t>
        </is>
      </c>
      <c r="R4" t="inlineStr">
        <is>
          <t>自定义分类板块，未绑定行情涨跌幅；用于归集相关股票。</t>
        </is>
      </c>
      <c r="S4" t="inlineStr">
        <is>
          <t/>
        </is>
      </c>
      <c r="T4" t="inlineStr">
        <is>
          <t/>
        </is>
      </c>
      <c r="U4" t="inlineStr">
        <is>
          <t>自定义板块（未绑定行情）</t>
        </is>
      </c>
      <c r="V4" t="inlineStr">
        <is>
          <t>观察</t>
        </is>
      </c>
    </row>
    <row r="5">
      <c r="A5" t="inlineStr">
        <is>
          <t>2026-07-09 12:26</t>
        </is>
      </c>
      <c r="B5" t="inlineStr">
        <is>
          <t>金风</t>
        </is>
      </c>
      <c r="C5" t="inlineStr">
        <is>
          <t>股票</t>
        </is>
      </c>
      <c r="D5" t="inlineStr">
        <is>
          <t>002202</t>
        </is>
      </c>
      <c r="E5" t="inlineStr">
        <is>
          <t>金风科技</t>
        </is>
      </c>
      <c r="F5" t="inlineStr">
        <is>
          <t>0.002202</t>
        </is>
      </c>
      <c r="G5" t="inlineStr">
        <is>
          <t>燃气轮机概念/板块（父项未添加，待确认）</t>
        </is>
      </c>
      <c r="H5" t="inlineStr">
        <is>
          <t/>
        </is>
      </c>
      <c r="I5" t="inlineStr">
        <is>
          <t>19.91</t>
        </is>
      </c>
      <c r="J5" t="inlineStr">
        <is>
          <t>0.00%</t>
        </is>
      </c>
      <c r="K5" t="inlineStr">
        <is>
          <t>99.70%</t>
        </is>
      </c>
      <c r="L5" t="inlineStr">
        <is>
          <t>-31.44%</t>
        </is>
      </c>
      <c r="M5" t="inlineStr">
        <is>
          <t>-16.48%</t>
        </is>
      </c>
      <c r="N5" t="inlineStr">
        <is>
          <t>-9.50%</t>
        </is>
      </c>
      <c r="O5" t="inlineStr">
        <is>
          <t>841.0亿</t>
        </is>
      </c>
      <c r="P5" t="inlineStr">
        <is>
          <t>偏强</t>
        </is>
      </c>
      <c r="Q5" t="inlineStr">
        <is>
          <t>高 / 波动61% / 回撤-43%</t>
        </is>
      </c>
      <c r="R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t>
        </is>
      </c>
      <c r="S5" t="inlineStr">
        <is>
          <t>电气设备-电源设备-风能</t>
        </is>
      </c>
      <c r="T5" t="str">
        <f>HYPERLINK("kline_charts/002202_金风科技.html","打开K线图")</f>
        <v>打开K线图</v>
      </c>
      <c r="U5" t="inlineStr">
        <is>
          <t>已通过东方财富市场搜索</t>
        </is>
      </c>
      <c r="V5" t="inlineStr">
        <is>
          <t>观察</t>
        </is>
      </c>
    </row>
    <row r="6">
      <c r="A6" t="inlineStr">
        <is>
          <t>2026-07-09 12:26</t>
        </is>
      </c>
      <c r="B6" t="inlineStr">
        <is>
          <t>铖昌（主要做天线相关的）</t>
        </is>
      </c>
      <c r="C6" t="inlineStr">
        <is>
          <t>股票</t>
        </is>
      </c>
      <c r="D6" t="inlineStr">
        <is>
          <t>001270</t>
        </is>
      </c>
      <c r="E6" t="inlineStr">
        <is>
          <t>铖昌科技</t>
        </is>
      </c>
      <c r="F6" t="inlineStr">
        <is>
          <t>0.001270</t>
        </is>
      </c>
      <c r="G6" t="inlineStr">
        <is>
          <t>商业航天；天线相关</t>
        </is>
      </c>
      <c r="H6" t="inlineStr">
        <is>
          <t/>
        </is>
      </c>
      <c r="I6" t="inlineStr">
        <is>
          <t>148.05</t>
        </is>
      </c>
      <c r="J6" t="inlineStr">
        <is>
          <t>0.00%</t>
        </is>
      </c>
      <c r="K6" t="inlineStr">
        <is>
          <t>274.15%</t>
        </is>
      </c>
      <c r="L6" t="inlineStr">
        <is>
          <t>33.11%</t>
        </is>
      </c>
      <c r="M6" t="inlineStr">
        <is>
          <t>21.82%</t>
        </is>
      </c>
      <c r="N6" t="inlineStr">
        <is>
          <t>8.26%</t>
        </is>
      </c>
      <c r="O6" t="inlineStr">
        <is>
          <t>305.1亿</t>
        </is>
      </c>
      <c r="P6" t="inlineStr">
        <is>
          <t>偏强</t>
        </is>
      </c>
      <c r="Q6" t="inlineStr">
        <is>
          <t>高 / 波动57% / 回撤-37%</t>
        </is>
      </c>
      <c r="R6"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c r="S6" t="inlineStr">
        <is>
          <t>电子设备-半导体-集成电路</t>
        </is>
      </c>
      <c r="T6" t="str">
        <f>HYPERLINK("kline_charts/001270_铖昌科技.html","打开K线图")</f>
        <v>打开K线图</v>
      </c>
      <c r="U6" t="inlineStr">
        <is>
          <t>已通过东方财富市场搜索</t>
        </is>
      </c>
      <c r="V6" t="inlineStr">
        <is>
          <t>观察</t>
        </is>
      </c>
    </row>
    <row r="7">
      <c r="A7" t="inlineStr">
        <is>
          <t>2026-07-09 12:26</t>
        </is>
      </c>
      <c r="B7" t="inlineStr">
        <is>
          <t>至纯科技</t>
        </is>
      </c>
      <c r="C7" t="inlineStr">
        <is>
          <t>股票</t>
        </is>
      </c>
      <c r="D7" t="inlineStr">
        <is>
          <t>603690</t>
        </is>
      </c>
      <c r="E7" t="inlineStr">
        <is>
          <t>至纯科技</t>
        </is>
      </c>
      <c r="F7" t="inlineStr">
        <is>
          <t>1.603690</t>
        </is>
      </c>
      <c r="G7" t="inlineStr">
        <is>
          <t>半导体设备ETF(159558)；湿法化学品待确认</t>
        </is>
      </c>
      <c r="H7" t="inlineStr">
        <is>
          <t/>
        </is>
      </c>
      <c r="I7" t="inlineStr">
        <is>
          <t>32.81</t>
        </is>
      </c>
      <c r="J7" t="inlineStr">
        <is>
          <t>0.00%</t>
        </is>
      </c>
      <c r="K7" t="inlineStr">
        <is>
          <t>33.54%</t>
        </is>
      </c>
      <c r="L7" t="inlineStr">
        <is>
          <t>0.24%</t>
        </is>
      </c>
      <c r="M7" t="inlineStr">
        <is>
          <t>30.87%</t>
        </is>
      </c>
      <c r="N7" t="inlineStr">
        <is>
          <t>19.22%</t>
        </is>
      </c>
      <c r="O7" t="inlineStr">
        <is>
          <t>125.7亿</t>
        </is>
      </c>
      <c r="P7" t="inlineStr">
        <is>
          <t>偏强</t>
        </is>
      </c>
      <c r="Q7" t="inlineStr">
        <is>
          <t>高 / 波动46% / 回撤-42%</t>
        </is>
      </c>
      <c r="R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170号2幢)、设计及加工,从事货物及技术的进出口业务,质检技术服务,计量器具修理,从事计量校准科技专业领域内技术咨询、技术服务、技术开发、技术转让,计量器具、仪器仪表批发…</t>
        </is>
      </c>
      <c r="S7" t="inlineStr">
        <is>
          <t>机械设备-专用设备-其他专用机械</t>
        </is>
      </c>
      <c r="T7" t="str">
        <f>HYPERLINK("kline_charts/603690_至纯科技.html","打开K线图")</f>
        <v>打开K线图</v>
      </c>
      <c r="U7" t="inlineStr">
        <is>
          <t>已通过东方财富市场搜索</t>
        </is>
      </c>
      <c r="V7" t="inlineStr">
        <is>
          <t>观察</t>
        </is>
      </c>
    </row>
    <row r="8">
      <c r="A8" t="inlineStr">
        <is>
          <t>2026-07-09 12:26</t>
        </is>
      </c>
      <c r="B8" t="inlineStr">
        <is>
          <t>159558</t>
        </is>
      </c>
      <c r="C8" t="inlineStr">
        <is>
          <t>ETF/基金</t>
        </is>
      </c>
      <c r="D8" t="inlineStr">
        <is>
          <t>159558</t>
        </is>
      </c>
      <c r="E8" t="inlineStr">
        <is>
          <t>半导体设备ETF易方达</t>
        </is>
      </c>
      <c r="F8" t="inlineStr">
        <is>
          <t>0.159558</t>
        </is>
      </c>
      <c r="G8" t="inlineStr">
        <is>
          <t>半导体设备ETF</t>
        </is>
      </c>
      <c r="H8" t="inlineStr">
        <is>
          <t/>
        </is>
      </c>
      <c r="I8" t="inlineStr">
        <is>
          <t>1.44</t>
        </is>
      </c>
      <c r="J8" t="inlineStr">
        <is>
          <t>0.00%</t>
        </is>
      </c>
      <c r="K8" t="inlineStr">
        <is>
          <t>253.81%</t>
        </is>
      </c>
      <c r="L8" t="inlineStr">
        <is>
          <t>103.97%</t>
        </is>
      </c>
      <c r="M8" t="inlineStr">
        <is>
          <t>110.53%</t>
        </is>
      </c>
      <c r="N8" t="inlineStr">
        <is>
          <t>45.75%</t>
        </is>
      </c>
      <c r="O8" t="inlineStr">
        <is>
          <t>183.3亿</t>
        </is>
      </c>
      <c r="P8" t="inlineStr">
        <is>
          <t>强势观察</t>
        </is>
      </c>
      <c r="Q8" t="inlineStr">
        <is>
          <t>中 / 波动44% / 回撤-20%</t>
        </is>
      </c>
      <c r="R8" t="inlineStr">
        <is>
          <t>市场可搜索基金/ETF，后续可补基金持仓与跟踪标的。</t>
        </is>
      </c>
      <c r="S8" t="inlineStr">
        <is>
          <t/>
        </is>
      </c>
      <c r="T8" t="str">
        <f>HYPERLINK("kline_charts/159558_半导体设备ETF易方达.html","打开K线图")</f>
        <v>打开K线图</v>
      </c>
      <c r="U8" t="inlineStr">
        <is>
          <t>已通过东方财富市场搜索</t>
        </is>
      </c>
      <c r="V8" t="inlineStr">
        <is>
          <t>观察</t>
        </is>
      </c>
    </row>
    <row r="9">
      <c r="A9" t="inlineStr">
        <is>
          <t>2026-07-09 12:26</t>
        </is>
      </c>
      <c r="B9" t="inlineStr">
        <is>
          <t>501201</t>
        </is>
      </c>
      <c r="C9" t="inlineStr">
        <is>
          <t>基金</t>
        </is>
      </c>
      <c r="D9" t="inlineStr">
        <is>
          <t>501201</t>
        </is>
      </c>
      <c r="E9" t="inlineStr">
        <is>
          <t>科创红土LOF</t>
        </is>
      </c>
      <c r="F9" t="inlineStr">
        <is>
          <t>1.501201</t>
        </is>
      </c>
      <c r="G9" t="inlineStr">
        <is>
          <t>基金</t>
        </is>
      </c>
      <c r="H9" t="inlineStr">
        <is>
          <t/>
        </is>
      </c>
      <c r="I9" t="inlineStr">
        <is>
          <t>3.01</t>
        </is>
      </c>
      <c r="J9" t="inlineStr">
        <is>
          <t>0.00%</t>
        </is>
      </c>
      <c r="K9" t="inlineStr">
        <is>
          <t>184.23%</t>
        </is>
      </c>
      <c r="L9" t="inlineStr">
        <is>
          <t>97.90%</t>
        </is>
      </c>
      <c r="M9" t="inlineStr">
        <is>
          <t>51.48%</t>
        </is>
      </c>
      <c r="N9" t="inlineStr">
        <is>
          <t>2.24%</t>
        </is>
      </c>
      <c r="O9" t="inlineStr">
        <is>
          <t>7400.0万</t>
        </is>
      </c>
      <c r="P9" t="inlineStr">
        <is>
          <t>强势观察</t>
        </is>
      </c>
      <c r="Q9" t="inlineStr">
        <is>
          <t>中 / 波动41% / 回撤-17%</t>
        </is>
      </c>
      <c r="R9" t="inlineStr">
        <is>
          <t>市场可搜索基金/ETF，后续可补基金持仓与跟踪标的。</t>
        </is>
      </c>
      <c r="S9" t="inlineStr">
        <is>
          <t/>
        </is>
      </c>
      <c r="T9" t="str">
        <f>HYPERLINK("kline_charts/501201_科创红土LOF.html","打开K线图")</f>
        <v>打开K线图</v>
      </c>
      <c r="U9" t="inlineStr">
        <is>
          <t>已通过东方财富市场搜索</t>
        </is>
      </c>
      <c r="V9" t="inlineStr">
        <is>
          <t>观察</t>
        </is>
      </c>
    </row>
    <row r="10">
      <c r="A10" t="inlineStr">
        <is>
          <t>2026-07-09 12:26</t>
        </is>
      </c>
      <c r="B10" t="inlineStr">
        <is>
          <t>168401</t>
        </is>
      </c>
      <c r="C10" t="inlineStr">
        <is>
          <t>基金</t>
        </is>
      </c>
      <c r="D10" t="inlineStr">
        <is>
          <t>168401</t>
        </is>
      </c>
      <c r="E10" t="inlineStr">
        <is>
          <t>红土创新精选LOF</t>
        </is>
      </c>
      <c r="F10" t="inlineStr">
        <is>
          <t>0.168401</t>
        </is>
      </c>
      <c r="G10" t="inlineStr">
        <is>
          <t>基金</t>
        </is>
      </c>
      <c r="H10" t="inlineStr">
        <is>
          <t/>
        </is>
      </c>
      <c r="I10" t="inlineStr">
        <is>
          <t>7.54</t>
        </is>
      </c>
      <c r="J10" t="inlineStr">
        <is>
          <t>0.00%</t>
        </is>
      </c>
      <c r="K10" t="inlineStr">
        <is>
          <t>242.97%</t>
        </is>
      </c>
      <c r="L10" t="inlineStr">
        <is>
          <t>95.03%</t>
        </is>
      </c>
      <c r="M10" t="inlineStr">
        <is>
          <t>50.48%</t>
        </is>
      </c>
      <c r="N10" t="inlineStr">
        <is>
          <t>2.82%</t>
        </is>
      </c>
      <c r="O10" t="inlineStr">
        <is>
          <t>9300.0万</t>
        </is>
      </c>
      <c r="P10" t="inlineStr">
        <is>
          <t>偏强</t>
        </is>
      </c>
      <c r="Q10" t="inlineStr">
        <is>
          <t>高 / 波动46% / 回撤-19%</t>
        </is>
      </c>
      <c r="R10" t="inlineStr">
        <is>
          <t>市场可搜索基金/ETF，后续可补基金持仓与跟踪标的。</t>
        </is>
      </c>
      <c r="S10" t="inlineStr">
        <is>
          <t/>
        </is>
      </c>
      <c r="T10" t="str">
        <f>HYPERLINK("kline_charts/168401_红土创新精选LOF.html","打开K线图")</f>
        <v>打开K线图</v>
      </c>
      <c r="U10" t="inlineStr">
        <is>
          <t>已通过东方财富市场搜索</t>
        </is>
      </c>
      <c r="V10" t="inlineStr">
        <is>
          <t>观察</t>
        </is>
      </c>
    </row>
    <row r="11">
      <c r="A11" t="inlineStr">
        <is>
          <t>2026-07-09 12:26</t>
        </is>
      </c>
      <c r="B11" t="inlineStr">
        <is>
          <t>龙蟠科技</t>
        </is>
      </c>
      <c r="C11" t="inlineStr">
        <is>
          <t>股票</t>
        </is>
      </c>
      <c r="D11" t="inlineStr">
        <is>
          <t>603906</t>
        </is>
      </c>
      <c r="E11" t="inlineStr">
        <is>
          <t>龙蟠科技</t>
        </is>
      </c>
      <c r="F11" t="inlineStr">
        <is>
          <t>1.603906</t>
        </is>
      </c>
      <c r="G11" t="inlineStr">
        <is>
          <t>锂电材料</t>
        </is>
      </c>
      <c r="H11" t="inlineStr">
        <is>
          <t/>
        </is>
      </c>
      <c r="I11" t="inlineStr">
        <is>
          <t>24.62</t>
        </is>
      </c>
      <c r="J11" t="inlineStr">
        <is>
          <t>0.00%</t>
        </is>
      </c>
      <c r="K11" t="inlineStr">
        <is>
          <t>68.28%</t>
        </is>
      </c>
      <c r="L11" t="inlineStr">
        <is>
          <t>22.61%</t>
        </is>
      </c>
      <c r="M11" t="inlineStr">
        <is>
          <t>11.76%</t>
        </is>
      </c>
      <c r="N11" t="inlineStr">
        <is>
          <t>4.10%</t>
        </is>
      </c>
      <c r="O11" t="inlineStr">
        <is>
          <t>194.8亿</t>
        </is>
      </c>
      <c r="P11" t="inlineStr">
        <is>
          <t>偏强</t>
        </is>
      </c>
      <c r="Q11" t="inlineStr">
        <is>
          <t>高 / 波动60% / 回撤-32%</t>
        </is>
      </c>
      <c r="R1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c r="S11" t="inlineStr">
        <is>
          <t>基础化工-化学制品-其他化学制品</t>
        </is>
      </c>
      <c r="T11" t="str">
        <f>HYPERLINK("kline_charts/603906_龙蟠科技.html","打开K线图")</f>
        <v>打开K线图</v>
      </c>
      <c r="U11" t="inlineStr">
        <is>
          <t>已通过东方财富市场搜索</t>
        </is>
      </c>
      <c r="V11" t="inlineStr">
        <is>
          <t>观察</t>
        </is>
      </c>
    </row>
    <row r="12">
      <c r="A12" t="inlineStr">
        <is>
          <t>2026-07-09 12:26</t>
        </is>
      </c>
      <c r="B12" t="inlineStr">
        <is>
          <t>中证500指数</t>
        </is>
      </c>
      <c r="C12" t="inlineStr">
        <is>
          <t>指数</t>
        </is>
      </c>
      <c r="D12" t="inlineStr">
        <is>
          <t>000905</t>
        </is>
      </c>
      <c r="E12" t="inlineStr">
        <is>
          <t>中证500</t>
        </is>
      </c>
      <c r="F12" t="inlineStr">
        <is>
          <t>1.000905</t>
        </is>
      </c>
      <c r="G12" t="inlineStr">
        <is>
          <t>中证500指数</t>
        </is>
      </c>
      <c r="H12" t="inlineStr">
        <is>
          <t/>
        </is>
      </c>
      <c r="I12" t="inlineStr">
        <is>
          <t>8342.49</t>
        </is>
      </c>
      <c r="J12" t="inlineStr">
        <is>
          <t>0.00%</t>
        </is>
      </c>
      <c r="K12" t="inlineStr">
        <is>
          <t>39.44%</t>
        </is>
      </c>
      <c r="L12" t="inlineStr">
        <is>
          <t>5.67%</t>
        </is>
      </c>
      <c r="M12" t="inlineStr">
        <is>
          <t>5.62%</t>
        </is>
      </c>
      <c r="N12" t="inlineStr">
        <is>
          <t>2.03%</t>
        </is>
      </c>
      <c r="O12" t="inlineStr">
        <is>
          <t>182289.1亿</t>
        </is>
      </c>
      <c r="P12" t="inlineStr">
        <is>
          <t>强势观察</t>
        </is>
      </c>
      <c r="Q12" t="inlineStr">
        <is>
          <t>低 / 波动22% / 回撤-14%</t>
        </is>
      </c>
      <c r="R12" t="inlineStr">
        <is>
          <t>市场指数，后续可挂接相关成分或跟踪基金。</t>
        </is>
      </c>
      <c r="S12" t="inlineStr">
        <is>
          <t>-</t>
        </is>
      </c>
      <c r="T12" t="str">
        <f>HYPERLINK("kline_charts/000905_中证500.html","打开K线图")</f>
        <v>打开K线图</v>
      </c>
      <c r="U12" t="inlineStr">
        <is>
          <t>已通过东方财富市场搜索</t>
        </is>
      </c>
      <c r="V12" t="inlineStr">
        <is>
          <t>观察</t>
        </is>
      </c>
    </row>
    <row r="13">
      <c r="A13" t="inlineStr">
        <is>
          <t>2026-07-09 12:26</t>
        </is>
      </c>
      <c r="B13" t="inlineStr">
        <is>
          <t>广联航空</t>
        </is>
      </c>
      <c r="C13" t="inlineStr">
        <is>
          <t>股票</t>
        </is>
      </c>
      <c r="D13" t="inlineStr">
        <is>
          <t>300900</t>
        </is>
      </c>
      <c r="E13" t="inlineStr">
        <is>
          <t>广联航空</t>
        </is>
      </c>
      <c r="F13" t="inlineStr">
        <is>
          <t>0.300900</t>
        </is>
      </c>
      <c r="G13" t="inlineStr">
        <is>
          <t>商业航天</t>
        </is>
      </c>
      <c r="H13" t="inlineStr">
        <is>
          <t/>
        </is>
      </c>
      <c r="I13" t="inlineStr">
        <is>
          <t>37.69</t>
        </is>
      </c>
      <c r="J13" t="inlineStr">
        <is>
          <t>0.00%</t>
        </is>
      </c>
      <c r="K13" t="inlineStr">
        <is>
          <t>65.45%</t>
        </is>
      </c>
      <c r="L13" t="inlineStr">
        <is>
          <t>-13.36%</t>
        </is>
      </c>
      <c r="M13" t="inlineStr">
        <is>
          <t>-1.64%</t>
        </is>
      </c>
      <c r="N13" t="inlineStr">
        <is>
          <t>9.44%</t>
        </is>
      </c>
      <c r="O13" t="inlineStr">
        <is>
          <t>123.5亿</t>
        </is>
      </c>
      <c r="P13" t="inlineStr">
        <is>
          <t>偏强</t>
        </is>
      </c>
      <c r="Q13" t="inlineStr">
        <is>
          <t>高 / 波动73% / 回撤-38%</t>
        </is>
      </c>
      <c r="R13" t="inlineStr">
        <is>
          <t>飞机部段、飞机零部件、飞机内饰、飞机机载设备和地随设备、燃气轮机零部件、卫星零部件、工业机器人、机械电气设备、自动化装备、自动化系统和自动化生产线的开发、生产、销售、维修及相关技术服务;工艺装备、模具、夹具和复合材料制品的开发、生产、销售、维修及相关技术服务;机械零部件的开发、生产、销售、维修及相关技术服务;机械加工、钣金、金属表面处理及热处理加工;飞机、飞机发动机、航天器、航天器零部件及相关设备的设计、制造、维修、加装、改装、销售及…</t>
        </is>
      </c>
      <c r="S13" t="inlineStr">
        <is>
          <t>国防与装备-航空航天装备-航空装备</t>
        </is>
      </c>
      <c r="T13" t="str">
        <f>HYPERLINK("kline_charts/300900_广联航空.html","打开K线图")</f>
        <v>打开K线图</v>
      </c>
      <c r="U13" t="inlineStr">
        <is>
          <t>已通过东方财富市场搜索</t>
        </is>
      </c>
      <c r="V13" t="inlineStr">
        <is>
          <t>观察</t>
        </is>
      </c>
    </row>
    <row r="14">
      <c r="A14" t="inlineStr">
        <is>
          <t>2026-07-09 12:26</t>
        </is>
      </c>
      <c r="B14" t="inlineStr">
        <is>
          <t>商络电子</t>
        </is>
      </c>
      <c r="C14" t="inlineStr">
        <is>
          <t>股票</t>
        </is>
      </c>
      <c r="D14" t="inlineStr">
        <is>
          <t>300975</t>
        </is>
      </c>
      <c r="E14" t="inlineStr">
        <is>
          <t>商络电子</t>
        </is>
      </c>
      <c r="F14" t="inlineStr">
        <is>
          <t>0.300975</t>
        </is>
      </c>
      <c r="G14" t="inlineStr">
        <is>
          <t>商业航天/电子元器件</t>
        </is>
      </c>
      <c r="H14" t="inlineStr">
        <is>
          <t/>
        </is>
      </c>
      <c r="I14" t="inlineStr">
        <is>
          <t>36.19</t>
        </is>
      </c>
      <c r="J14" t="inlineStr">
        <is>
          <t>0.00%</t>
        </is>
      </c>
      <c r="K14" t="inlineStr">
        <is>
          <t>208.95%</t>
        </is>
      </c>
      <c r="L14" t="inlineStr">
        <is>
          <t>170.40%</t>
        </is>
      </c>
      <c r="M14" t="inlineStr">
        <is>
          <t>76.24%</t>
        </is>
      </c>
      <c r="N14" t="inlineStr">
        <is>
          <t>-20.41%</t>
        </is>
      </c>
      <c r="O14" t="inlineStr">
        <is>
          <t>248.6亿</t>
        </is>
      </c>
      <c r="P14" t="inlineStr">
        <is>
          <t>偏强</t>
        </is>
      </c>
      <c r="Q14" t="inlineStr">
        <is>
          <t>高 / 波动69% / 回撤-33%</t>
        </is>
      </c>
      <c r="R14"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c r="S14" t="inlineStr">
        <is>
          <t>商贸零售-贸易-贸易</t>
        </is>
      </c>
      <c r="T14" t="str">
        <f>HYPERLINK("kline_charts/300975_商络电子.html","打开K线图")</f>
        <v>打开K线图</v>
      </c>
      <c r="U14" t="inlineStr">
        <is>
          <t>已通过东方财富市场搜索</t>
        </is>
      </c>
      <c r="V14" t="inlineStr">
        <is>
          <t>观察</t>
        </is>
      </c>
    </row>
    <row r="15">
      <c r="A15" t="inlineStr">
        <is>
          <t>2026-07-09 12:26</t>
        </is>
      </c>
      <c r="B15" t="inlineStr">
        <is>
          <t>600497</t>
        </is>
      </c>
      <c r="C15" t="inlineStr">
        <is>
          <t>股票</t>
        </is>
      </c>
      <c r="D15" t="inlineStr">
        <is>
          <t>600497</t>
        </is>
      </c>
      <c r="E15" t="inlineStr">
        <is>
          <t>驰宏锌锗</t>
        </is>
      </c>
      <c r="F15" t="inlineStr">
        <is>
          <t>1.600497</t>
        </is>
      </c>
      <c r="G15" t="inlineStr">
        <is>
          <t>锗/小金属</t>
        </is>
      </c>
      <c r="H15" t="inlineStr">
        <is>
          <t/>
        </is>
      </c>
      <c r="I15" t="inlineStr">
        <is>
          <t>9.30</t>
        </is>
      </c>
      <c r="J15" t="inlineStr">
        <is>
          <t>0.00%</t>
        </is>
      </c>
      <c r="K15" t="inlineStr">
        <is>
          <t>77.48%</t>
        </is>
      </c>
      <c r="L15" t="inlineStr">
        <is>
          <t>18.32%</t>
        </is>
      </c>
      <c r="M15" t="inlineStr">
        <is>
          <t>14.39%</t>
        </is>
      </c>
      <c r="N15" t="inlineStr">
        <is>
          <t>10.06%</t>
        </is>
      </c>
      <c r="O15" t="inlineStr">
        <is>
          <t>468.8亿</t>
        </is>
      </c>
      <c r="P15" t="inlineStr">
        <is>
          <t>偏强</t>
        </is>
      </c>
      <c r="Q15" t="inlineStr">
        <is>
          <t>高 / 波动53% / 回撤-33%</t>
        </is>
      </c>
      <c r="R15" t="inlineStr">
        <is>
          <t>铅锌锗系列产品的探矿、选矿、采矿、冶炼及产品深加工;硫酸、硫酸锌、硫酸铵;伴生有价金属的提炼、销售及技术服务;废旧物资回收及利用、矿山及其井下建设工程的设计与施工;阴阳极板生产、销售;有色金属、黑色金属、矿产品化验分析技术服务;资产租赁;物流及道路货物运输;车辆修理;境外期货套期保值业务;进出口业务和国内贸易。(依法须经批准的项目,经相关部门批准后方可开展经营活动)</t>
        </is>
      </c>
      <c r="S15" t="inlineStr">
        <is>
          <t>有色金属-基本金属-铅锌</t>
        </is>
      </c>
      <c r="T15" t="str">
        <f>HYPERLINK("kline_charts/600497_驰宏锌锗.html","打开K线图")</f>
        <v>打开K线图</v>
      </c>
      <c r="U15" t="inlineStr">
        <is>
          <t>已通过东方财富市场搜索</t>
        </is>
      </c>
      <c r="V15" t="inlineStr">
        <is>
          <t>观察</t>
        </is>
      </c>
    </row>
    <row r="16">
      <c r="A16" t="inlineStr">
        <is>
          <t>2026-07-09 12:26</t>
        </is>
      </c>
      <c r="B16" t="inlineStr">
        <is>
          <t>云南锗业</t>
        </is>
      </c>
      <c r="C16" t="inlineStr">
        <is>
          <t>股票</t>
        </is>
      </c>
      <c r="D16" t="inlineStr">
        <is>
          <t>002428</t>
        </is>
      </c>
      <c r="E16" t="inlineStr">
        <is>
          <t>云南锗业</t>
        </is>
      </c>
      <c r="F16" t="inlineStr">
        <is>
          <t>0.002428</t>
        </is>
      </c>
      <c r="G16" t="inlineStr">
        <is>
          <t>锗/小金属</t>
        </is>
      </c>
      <c r="H16" t="inlineStr">
        <is>
          <t/>
        </is>
      </c>
      <c r="I16" t="inlineStr">
        <is>
          <t>93.56</t>
        </is>
      </c>
      <c r="J16" t="inlineStr">
        <is>
          <t>0.00%</t>
        </is>
      </c>
      <c r="K16" t="inlineStr">
        <is>
          <t>383.76%</t>
        </is>
      </c>
      <c r="L16" t="inlineStr">
        <is>
          <t>164.52%</t>
        </is>
      </c>
      <c r="M16" t="inlineStr">
        <is>
          <t>68.33%</t>
        </is>
      </c>
      <c r="N16" t="inlineStr">
        <is>
          <t>10.51%</t>
        </is>
      </c>
      <c r="O16" t="inlineStr">
        <is>
          <t>611.1亿</t>
        </is>
      </c>
      <c r="P16" t="inlineStr">
        <is>
          <t>偏强</t>
        </is>
      </c>
      <c r="Q16" t="inlineStr">
        <is>
          <t>高 / 波动72% / 回撤-28%</t>
        </is>
      </c>
      <c r="R16" t="inlineStr">
        <is>
          <t>锗系列产品及其他冶金产品、矿产品生产、冶炼、销售;本企业自产的高纯二氧化锗、锗锭、区熔锗、有机锗系列产品、有色金属及矿产品相关技术的出口;本企业生产、科研所需原辅材料、机械设备、仪器仪表、零配件及相关技术的进口;红外光学镜头设计与制造;光学元件加工热压成型;锗煤生产与销售。</t>
        </is>
      </c>
      <c r="S16" t="inlineStr">
        <is>
          <t>有色金属-稀有金属-其他稀有小金属</t>
        </is>
      </c>
      <c r="T16" t="str">
        <f>HYPERLINK("kline_charts/002428_云南锗业.html","打开K线图")</f>
        <v>打开K线图</v>
      </c>
      <c r="U16" t="inlineStr">
        <is>
          <t>已通过东方财富市场搜索</t>
        </is>
      </c>
      <c r="V16" t="inlineStr">
        <is>
          <t>观察</t>
        </is>
      </c>
    </row>
    <row r="17">
      <c r="A17" t="inlineStr">
        <is>
          <t>2026-07-09 12:26</t>
        </is>
      </c>
      <c r="B17" t="inlineStr">
        <is>
          <t>顺络</t>
        </is>
      </c>
      <c r="C17" t="inlineStr">
        <is>
          <t>股票</t>
        </is>
      </c>
      <c r="D17" t="inlineStr">
        <is>
          <t>002138</t>
        </is>
      </c>
      <c r="E17" t="inlineStr">
        <is>
          <t>顺络电子</t>
        </is>
      </c>
      <c r="F17" t="inlineStr">
        <is>
          <t>0.002138</t>
        </is>
      </c>
      <c r="G17" t="inlineStr">
        <is>
          <t>电子元件</t>
        </is>
      </c>
      <c r="H17" t="inlineStr">
        <is>
          <t/>
        </is>
      </c>
      <c r="I17" t="inlineStr">
        <is>
          <t>55.77</t>
        </is>
      </c>
      <c r="J17" t="inlineStr">
        <is>
          <t>0.00%</t>
        </is>
      </c>
      <c r="K17" t="inlineStr">
        <is>
          <t>101.71%</t>
        </is>
      </c>
      <c r="L17" t="inlineStr">
        <is>
          <t>55.70%</t>
        </is>
      </c>
      <c r="M17" t="inlineStr">
        <is>
          <t>64.51%</t>
        </is>
      </c>
      <c r="N17" t="inlineStr">
        <is>
          <t>-8.92%</t>
        </is>
      </c>
      <c r="O17" t="inlineStr">
        <is>
          <t>449.7亿</t>
        </is>
      </c>
      <c r="P17" t="inlineStr">
        <is>
          <t>偏强</t>
        </is>
      </c>
      <c r="Q17" t="inlineStr">
        <is>
          <t>高 / 波动52% / 回撤-25%</t>
        </is>
      </c>
      <c r="R17" t="inlineStr">
        <is>
          <t>研发、设计、生产、销售新型电子元器件;提供技术方案设计和技术转让、咨询服务;销售自产产品。</t>
        </is>
      </c>
      <c r="S17" t="inlineStr">
        <is>
          <t>电子设备-电子元件-电子元件</t>
        </is>
      </c>
      <c r="T17" t="str">
        <f>HYPERLINK("kline_charts/002138_顺络电子.html","打开K线图")</f>
        <v>打开K线图</v>
      </c>
      <c r="U17" t="inlineStr">
        <is>
          <t>已通过东方财富市场搜索</t>
        </is>
      </c>
      <c r="V17" t="inlineStr">
        <is>
          <t>观察</t>
        </is>
      </c>
    </row>
    <row r="18">
      <c r="A18" t="inlineStr">
        <is>
          <t>2026-07-09 12:26</t>
        </is>
      </c>
      <c r="B18" t="inlineStr">
        <is>
          <t>江波龙</t>
        </is>
      </c>
      <c r="C18" t="inlineStr">
        <is>
          <t>股票</t>
        </is>
      </c>
      <c r="D18" t="inlineStr">
        <is>
          <t>301308</t>
        </is>
      </c>
      <c r="E18" t="inlineStr">
        <is>
          <t>江波龙</t>
        </is>
      </c>
      <c r="F18" t="inlineStr">
        <is>
          <t>0.301308</t>
        </is>
      </c>
      <c r="G18" t="inlineStr">
        <is>
          <t>存储/半导体</t>
        </is>
      </c>
      <c r="H18" t="inlineStr">
        <is>
          <t/>
        </is>
      </c>
      <c r="I18" t="inlineStr">
        <is>
          <t>600.99</t>
        </is>
      </c>
      <c r="J18" t="inlineStr">
        <is>
          <t>0.00%</t>
        </is>
      </c>
      <c r="K18" t="inlineStr">
        <is>
          <t>655.59%</t>
        </is>
      </c>
      <c r="L18" t="inlineStr">
        <is>
          <t>112.43%</t>
        </is>
      </c>
      <c r="M18" t="inlineStr">
        <is>
          <t>85.20%</t>
        </is>
      </c>
      <c r="N18" t="inlineStr">
        <is>
          <t>16.78%</t>
        </is>
      </c>
      <c r="O18" t="inlineStr">
        <is>
          <t>2542.6亿</t>
        </is>
      </c>
      <c r="P18" t="inlineStr">
        <is>
          <t>偏强</t>
        </is>
      </c>
      <c r="Q18" t="inlineStr">
        <is>
          <t>高 / 波动81% / 回撤-30%</t>
        </is>
      </c>
      <c r="R1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c r="S18" t="inlineStr">
        <is>
          <t>电子设备-电子设备制造-电子设备制造</t>
        </is>
      </c>
      <c r="T18" t="str">
        <f>HYPERLINK("kline_charts/301308_江波龙.html","打开K线图")</f>
        <v>打开K线图</v>
      </c>
      <c r="U18" t="inlineStr">
        <is>
          <t>已通过东方财富市场搜索</t>
        </is>
      </c>
      <c r="V18" t="inlineStr">
        <is>
          <t>观察</t>
        </is>
      </c>
    </row>
    <row r="19">
      <c r="A19" t="inlineStr">
        <is>
          <t>2026-07-09 12:26</t>
        </is>
      </c>
      <c r="B19" t="inlineStr">
        <is>
          <t>湿法化学品</t>
        </is>
      </c>
      <c r="C19" t="inlineStr">
        <is>
          <t>概念/板块</t>
        </is>
      </c>
      <c r="D19" t="inlineStr">
        <is>
          <t>CUSTOM_湿法化学品</t>
        </is>
      </c>
      <c r="E19" t="inlineStr">
        <is>
          <t>湿法化学品</t>
        </is>
      </c>
      <c r="F19" t="inlineStr">
        <is>
          <t/>
        </is>
      </c>
      <c r="G19" t="inlineStr">
        <is>
          <t>湿法化学品</t>
        </is>
      </c>
      <c r="H19" t="inlineStr">
        <is>
          <t/>
        </is>
      </c>
      <c r="I19" t="inlineStr">
        <is>
          <t/>
        </is>
      </c>
      <c r="J19" t="inlineStr">
        <is>
          <t/>
        </is>
      </c>
      <c r="K19" t="inlineStr">
        <is>
          <t/>
        </is>
      </c>
      <c r="L19" t="inlineStr">
        <is>
          <t/>
        </is>
      </c>
      <c r="M19" t="inlineStr">
        <is>
          <t/>
        </is>
      </c>
      <c r="N19" t="inlineStr">
        <is>
          <t/>
        </is>
      </c>
      <c r="O19" t="inlineStr">
        <is>
          <t/>
        </is>
      </c>
      <c r="P19" t="inlineStr">
        <is>
          <t>待评估</t>
        </is>
      </c>
      <c r="Q19" t="inlineStr">
        <is>
          <t>待评估</t>
        </is>
      </c>
      <c r="R19" t="inlineStr">
        <is>
          <t>自定义分类板块，未绑定行情涨跌幅；用于归集相关股票。</t>
        </is>
      </c>
      <c r="S19" t="inlineStr">
        <is>
          <t/>
        </is>
      </c>
      <c r="T19" t="inlineStr">
        <is>
          <t/>
        </is>
      </c>
      <c r="U19" t="inlineStr">
        <is>
          <t>自定义板块（未绑定行情）</t>
        </is>
      </c>
      <c r="V19" t="inlineStr">
        <is>
          <t>观察</t>
        </is>
      </c>
    </row>
    <row r="20">
      <c r="A20" t="inlineStr">
        <is>
          <t>2026-07-09 12:26</t>
        </is>
      </c>
      <c r="B20" t="inlineStr">
        <is>
          <t>江化微</t>
        </is>
      </c>
      <c r="C20" t="inlineStr">
        <is>
          <t>股票</t>
        </is>
      </c>
      <c r="D20" t="inlineStr">
        <is>
          <t>603078</t>
        </is>
      </c>
      <c r="E20" t="inlineStr">
        <is>
          <t>江化微</t>
        </is>
      </c>
      <c r="F20" t="inlineStr">
        <is>
          <t>1.603078</t>
        </is>
      </c>
      <c r="G20" t="inlineStr">
        <is>
          <t>湿法化学品待确认/电子化学品</t>
        </is>
      </c>
      <c r="H20" t="inlineStr">
        <is>
          <t/>
        </is>
      </c>
      <c r="I20" t="inlineStr">
        <is>
          <t>50.54</t>
        </is>
      </c>
      <c r="J20" t="inlineStr">
        <is>
          <t>0.00%</t>
        </is>
      </c>
      <c r="K20" t="inlineStr">
        <is>
          <t>175.87%</t>
        </is>
      </c>
      <c r="L20" t="inlineStr">
        <is>
          <t>161.46%</t>
        </is>
      </c>
      <c r="M20" t="inlineStr">
        <is>
          <t>120.60%</t>
        </is>
      </c>
      <c r="N20" t="inlineStr">
        <is>
          <t>11.37%</t>
        </is>
      </c>
      <c r="O20" t="inlineStr">
        <is>
          <t>194.9亿</t>
        </is>
      </c>
      <c r="P20" t="inlineStr">
        <is>
          <t>偏强</t>
        </is>
      </c>
      <c r="Q20" t="inlineStr">
        <is>
          <t>高 / 波动53% / 回撤-32%</t>
        </is>
      </c>
      <c r="R20"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t>
        </is>
      </c>
      <c r="S20" t="inlineStr">
        <is>
          <t>电子设备-半导体-半导体材料</t>
        </is>
      </c>
      <c r="T20" t="str">
        <f>HYPERLINK("kline_charts/603078_江化微.html","打开K线图")</f>
        <v>打开K线图</v>
      </c>
      <c r="U20" t="inlineStr">
        <is>
          <t>已通过东方财富市场搜索</t>
        </is>
      </c>
      <c r="V20" t="inlineStr">
        <is>
          <t>观察</t>
        </is>
      </c>
    </row>
    <row r="21">
      <c r="A21" t="inlineStr">
        <is>
          <t>2026-07-09 12:26</t>
        </is>
      </c>
      <c r="B21" t="inlineStr">
        <is>
          <t>太极实业</t>
        </is>
      </c>
      <c r="C21" t="inlineStr">
        <is>
          <t>股票</t>
        </is>
      </c>
      <c r="D21" t="inlineStr">
        <is>
          <t>600667</t>
        </is>
      </c>
      <c r="E21" t="inlineStr">
        <is>
          <t>太极实业</t>
        </is>
      </c>
      <c r="F21" t="inlineStr">
        <is>
          <t>1.600667</t>
        </is>
      </c>
      <c r="G21" t="inlineStr">
        <is>
          <t>半导体工程/电子制造</t>
        </is>
      </c>
      <c r="H21" t="inlineStr">
        <is>
          <t/>
        </is>
      </c>
      <c r="I21" t="inlineStr">
        <is>
          <t>25.14</t>
        </is>
      </c>
      <c r="J21" t="inlineStr">
        <is>
          <t>0.00%</t>
        </is>
      </c>
      <c r="K21" t="inlineStr">
        <is>
          <t>277.19%</t>
        </is>
      </c>
      <c r="L21" t="inlineStr">
        <is>
          <t>198.75%</t>
        </is>
      </c>
      <c r="M21" t="inlineStr">
        <is>
          <t>162.83%</t>
        </is>
      </c>
      <c r="N21" t="inlineStr">
        <is>
          <t>61.72%</t>
        </is>
      </c>
      <c r="O21" t="inlineStr">
        <is>
          <t>525.8亿</t>
        </is>
      </c>
      <c r="P21" t="inlineStr">
        <is>
          <t>偏强</t>
        </is>
      </c>
      <c r="Q21" t="inlineStr">
        <is>
          <t>高 / 波动64% / 回撤-27%</t>
        </is>
      </c>
      <c r="R21" t="inlineStr">
        <is>
          <t/>
        </is>
      </c>
      <c r="S21" t="inlineStr">
        <is>
          <t/>
        </is>
      </c>
      <c r="T21" t="str">
        <f>HYPERLINK("kline_charts/600667_太极实业.html","打开K线图")</f>
        <v>打开K线图</v>
      </c>
      <c r="U21" t="inlineStr">
        <is>
          <t>已通过东方财富市场搜索</t>
        </is>
      </c>
      <c r="V21" t="inlineStr">
        <is>
          <t>观察</t>
        </is>
      </c>
    </row>
    <row r="22">
      <c r="A22" t="inlineStr">
        <is>
          <t>2026-07-09 12:26</t>
        </is>
      </c>
      <c r="B22" t="inlineStr">
        <is>
          <t>603773</t>
        </is>
      </c>
      <c r="C22" t="inlineStr">
        <is>
          <t>股票</t>
        </is>
      </c>
      <c r="D22" t="inlineStr">
        <is>
          <t>603773</t>
        </is>
      </c>
      <c r="E22" t="inlineStr">
        <is>
          <t>沃格光电</t>
        </is>
      </c>
      <c r="F22" t="inlineStr">
        <is>
          <t>1.603773</t>
        </is>
      </c>
      <c r="G22" t="inlineStr">
        <is>
          <t>电子材料/显示</t>
        </is>
      </c>
      <c r="H22" t="inlineStr">
        <is>
          <t/>
        </is>
      </c>
      <c r="I22" t="inlineStr">
        <is>
          <t>118.22</t>
        </is>
      </c>
      <c r="J22" t="inlineStr">
        <is>
          <t>0.00%</t>
        </is>
      </c>
      <c r="K22" t="inlineStr">
        <is>
          <t>392.99%</t>
        </is>
      </c>
      <c r="L22" t="inlineStr">
        <is>
          <t>221.16%</t>
        </is>
      </c>
      <c r="M22" t="inlineStr">
        <is>
          <t>201.43%</t>
        </is>
      </c>
      <c r="N22" t="inlineStr">
        <is>
          <t>-21.27%</t>
        </is>
      </c>
      <c r="O22" t="inlineStr">
        <is>
          <t>265.7亿</t>
        </is>
      </c>
      <c r="P22" t="inlineStr">
        <is>
          <t>偏强</t>
        </is>
      </c>
      <c r="Q22" t="inlineStr">
        <is>
          <t>高 / 波动74% / 回撤-34%</t>
        </is>
      </c>
      <c r="R2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c r="S22" t="inlineStr">
        <is>
          <t>电子设备-电子器件-显示器件</t>
        </is>
      </c>
      <c r="T22" t="str">
        <f>HYPERLINK("kline_charts/603773_沃格光电.html","打开K线图")</f>
        <v>打开K线图</v>
      </c>
      <c r="U22" t="inlineStr">
        <is>
          <t>已通过东方财富市场搜索</t>
        </is>
      </c>
      <c r="V22" t="inlineStr">
        <is>
          <t>观察</t>
        </is>
      </c>
    </row>
    <row r="23">
      <c r="A23" t="inlineStr">
        <is>
          <t>2026-07-09 12:26</t>
        </is>
      </c>
      <c r="B23" t="inlineStr">
        <is>
          <t>江丰电子</t>
        </is>
      </c>
      <c r="C23" t="inlineStr">
        <is>
          <t>股票</t>
        </is>
      </c>
      <c r="D23" t="inlineStr">
        <is>
          <t>300666</t>
        </is>
      </c>
      <c r="E23" t="inlineStr">
        <is>
          <t>江丰电子</t>
        </is>
      </c>
      <c r="F23" t="inlineStr">
        <is>
          <t>0.300666</t>
        </is>
      </c>
      <c r="G23" t="inlineStr">
        <is>
          <t>半导体材料</t>
        </is>
      </c>
      <c r="H23" t="inlineStr">
        <is>
          <t/>
        </is>
      </c>
      <c r="I23" t="inlineStr">
        <is>
          <t>337.13</t>
        </is>
      </c>
      <c r="J23" t="inlineStr">
        <is>
          <t>0.00%</t>
        </is>
      </c>
      <c r="K23" t="inlineStr">
        <is>
          <t>364.39%</t>
        </is>
      </c>
      <c r="L23" t="inlineStr">
        <is>
          <t>201.29%</t>
        </is>
      </c>
      <c r="M23" t="inlineStr">
        <is>
          <t>115.30%</t>
        </is>
      </c>
      <c r="N23" t="inlineStr">
        <is>
          <t>49.92%</t>
        </is>
      </c>
      <c r="O23" t="inlineStr">
        <is>
          <t>930.4亿</t>
        </is>
      </c>
      <c r="P23" t="inlineStr">
        <is>
          <t>偏强</t>
        </is>
      </c>
      <c r="Q23" t="inlineStr">
        <is>
          <t>高 / 波动66% / 回撤-29%</t>
        </is>
      </c>
      <c r="R2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t>
        </is>
      </c>
      <c r="S23" t="inlineStr">
        <is>
          <t>电子设备-半导体-半导体材料</t>
        </is>
      </c>
      <c r="T23" t="str">
        <f>HYPERLINK("kline_charts/300666_江丰电子.html","打开K线图")</f>
        <v>打开K线图</v>
      </c>
      <c r="U23" t="inlineStr">
        <is>
          <t>已通过东方财富市场搜索</t>
        </is>
      </c>
      <c r="V23" t="inlineStr">
        <is>
          <t>观察</t>
        </is>
      </c>
    </row>
    <row r="24">
      <c r="A24" t="inlineStr">
        <is>
          <t>2026-07-09 12:26</t>
        </is>
      </c>
      <c r="B24" t="inlineStr">
        <is>
          <t>多氟多</t>
        </is>
      </c>
      <c r="C24" t="inlineStr">
        <is>
          <t>股票</t>
        </is>
      </c>
      <c r="D24" t="inlineStr">
        <is>
          <t>002407</t>
        </is>
      </c>
      <c r="E24" t="inlineStr">
        <is>
          <t>多氟多</t>
        </is>
      </c>
      <c r="F24" t="inlineStr">
        <is>
          <t>0.002407</t>
        </is>
      </c>
      <c r="G24" t="inlineStr">
        <is>
          <t>氟化工/锂电材料</t>
        </is>
      </c>
      <c r="H24" t="inlineStr">
        <is>
          <t/>
        </is>
      </c>
      <c r="I24" t="inlineStr">
        <is>
          <t>40.98</t>
        </is>
      </c>
      <c r="J24" t="inlineStr">
        <is>
          <t>0.00%</t>
        </is>
      </c>
      <c r="K24" t="inlineStr">
        <is>
          <t>242.18%</t>
        </is>
      </c>
      <c r="L24" t="inlineStr">
        <is>
          <t>25.30%</t>
        </is>
      </c>
      <c r="M24" t="inlineStr">
        <is>
          <t>50.08%</t>
        </is>
      </c>
      <c r="N24" t="inlineStr">
        <is>
          <t>20.74%</t>
        </is>
      </c>
      <c r="O24" t="inlineStr">
        <is>
          <t>487.8亿</t>
        </is>
      </c>
      <c r="P24" t="inlineStr">
        <is>
          <t>偏强</t>
        </is>
      </c>
      <c r="Q24" t="inlineStr">
        <is>
          <t>高 / 波动66% / 回撤-37%</t>
        </is>
      </c>
      <c r="R24" t="inlineStr">
        <is>
          <t>许可项目:危险化学品生产;危险化学品经营;包装装潢印刷品印刷;文件、资料等其他印刷品印刷;建设工程施工。(依法须经批准的项目,经相关部门批准后方可开展经营活动,具体经营项目以相关部门批准文件或许可证件为准)一般项目:电子专用材料制造;电子专用材料销售;专用化学产品制造(不含危险化学品);专用化学产品销售(不含危险化学品);基础化学原料制造(不含危险化学品等许可类化学品的制造);合成材料制造(不含危险化学品);合成材料销售;电池制造;电…</t>
        </is>
      </c>
      <c r="S24" t="inlineStr">
        <is>
          <t>基础化工-化学原料-氟化工</t>
        </is>
      </c>
      <c r="T24" t="str">
        <f>HYPERLINK("kline_charts/002407_多氟多.html","打开K线图")</f>
        <v>打开K线图</v>
      </c>
      <c r="U24" t="inlineStr">
        <is>
          <t>已通过东方财富市场搜索</t>
        </is>
      </c>
      <c r="V24" t="inlineStr">
        <is>
          <t>观察</t>
        </is>
      </c>
    </row>
    <row r="25">
      <c r="A25" t="inlineStr">
        <is>
          <t>2026-07-09 12:26</t>
        </is>
      </c>
      <c r="B25" t="inlineStr">
        <is>
          <t>图片提炼：永太科技业绩预增</t>
        </is>
      </c>
      <c r="C25" t="inlineStr">
        <is>
          <t>股票</t>
        </is>
      </c>
      <c r="D25" t="inlineStr">
        <is>
          <t>002326</t>
        </is>
      </c>
      <c r="E25" t="inlineStr">
        <is>
          <t>永太科技</t>
        </is>
      </c>
      <c r="F25" t="inlineStr">
        <is>
          <t>0.002326</t>
        </is>
      </c>
      <c r="G25" t="inlineStr">
        <is>
          <t>锂电材料；六氟磷酸锂；LiFSI；VC；电解液；新能源车/储能</t>
        </is>
      </c>
      <c r="H25" t="inlineStr">
        <is>
          <t>2026-06-30财联社电报：永太科技预计2026年上半年归母净利润2.65亿-3.30亿元，同比增长350.68%-461.22%；受益新能源车及储能需求增长，六氟磷酸锂、LiFSI、VC及电解液等产品销量与价格同比提升，Q2净利润预计环比增长53%-115%。</t>
        </is>
      </c>
      <c r="I25" t="inlineStr">
        <is>
          <t>20.00</t>
        </is>
      </c>
      <c r="J25" t="inlineStr">
        <is>
          <t>0.00%</t>
        </is>
      </c>
      <c r="K25" t="inlineStr">
        <is>
          <t>47.93%</t>
        </is>
      </c>
      <c r="L25" t="inlineStr">
        <is>
          <t>-19.78%</t>
        </is>
      </c>
      <c r="M25" t="inlineStr">
        <is>
          <t>-13.16%</t>
        </is>
      </c>
      <c r="N25" t="inlineStr">
        <is>
          <t>-12.74%</t>
        </is>
      </c>
      <c r="O25" t="inlineStr">
        <is>
          <t>185.0亿</t>
        </is>
      </c>
      <c r="P25" t="inlineStr">
        <is>
          <t>偏强</t>
        </is>
      </c>
      <c r="Q25" t="inlineStr">
        <is>
          <t>高 / 波动64% / 回撤-36%</t>
        </is>
      </c>
      <c r="R25" t="inlineStr">
        <is>
          <t>农药(不含危险化学品)的销售(凭许可证经营)。有机中间体(不含危险化学品和易制毒化学品)、机械设备制造和销售,生物技术、农药技术、化学品技术开发、技术咨询、技术服务、仪器仪表、化工产品(不含危险化学品和易制毒化学品)、矿产品(除专控)、石油制品(不含成品油及危险化学品)、电子产品原料及产品的销售、从事进出口业务。</t>
        </is>
      </c>
      <c r="S25" t="inlineStr">
        <is>
          <t>基础化工-化学原料-氟化工</t>
        </is>
      </c>
      <c r="T25" t="str">
        <f>HYPERLINK("kline_charts/002326_永太科技.html","打开K线图")</f>
        <v>打开K线图</v>
      </c>
      <c r="U25" t="inlineStr">
        <is>
          <t>已通过东方财富市场搜索</t>
        </is>
      </c>
      <c r="V25" t="inlineStr">
        <is>
          <t>观察</t>
        </is>
      </c>
    </row>
    <row r="26">
      <c r="A26" t="inlineStr">
        <is>
          <t>2026-07-09 12:26</t>
        </is>
      </c>
      <c r="B26" t="inlineStr">
        <is>
          <t>机器人板块</t>
        </is>
      </c>
      <c r="C26" t="inlineStr">
        <is>
          <t>概念/板块</t>
        </is>
      </c>
      <c r="D26" t="inlineStr">
        <is>
          <t>BK1090</t>
        </is>
      </c>
      <c r="E26" t="inlineStr">
        <is>
          <t>机器人概念</t>
        </is>
      </c>
      <c r="F26" t="inlineStr">
        <is>
          <t>90.BK1090</t>
        </is>
      </c>
      <c r="G26" t="inlineStr">
        <is>
          <t>机器人板块</t>
        </is>
      </c>
      <c r="H26" t="inlineStr">
        <is>
          <t/>
        </is>
      </c>
      <c r="I26" t="inlineStr">
        <is>
          <t/>
        </is>
      </c>
      <c r="J26" t="inlineStr">
        <is>
          <t/>
        </is>
      </c>
      <c r="K26" t="inlineStr">
        <is>
          <t/>
        </is>
      </c>
      <c r="L26" t="inlineStr">
        <is>
          <t/>
        </is>
      </c>
      <c r="M26" t="inlineStr">
        <is>
          <t/>
        </is>
      </c>
      <c r="N26" t="inlineStr">
        <is>
          <t/>
        </is>
      </c>
      <c r="O26" t="inlineStr">
        <is>
          <t/>
        </is>
      </c>
      <c r="P26" t="inlineStr">
        <is>
          <t>待评估</t>
        </is>
      </c>
      <c r="Q26" t="inlineStr">
        <is>
          <t>待评估</t>
        </is>
      </c>
      <c r="R26" t="inlineStr">
        <is>
          <t>东方财富概念/行业板块。</t>
        </is>
      </c>
      <c r="S26" t="inlineStr">
        <is>
          <t/>
        </is>
      </c>
      <c r="T26" t="inlineStr">
        <is>
          <t/>
        </is>
      </c>
      <c r="U26" t="inlineStr">
        <is>
          <t>已通过东方财富市场搜索</t>
        </is>
      </c>
      <c r="V26" t="inlineStr">
        <is>
          <t>观察</t>
        </is>
      </c>
    </row>
    <row r="27">
      <c r="A27" t="inlineStr">
        <is>
          <t>2026-07-09 12:26</t>
        </is>
      </c>
      <c r="B27" t="inlineStr">
        <is>
          <t>科达利</t>
        </is>
      </c>
      <c r="C27" t="inlineStr">
        <is>
          <t>股票</t>
        </is>
      </c>
      <c r="D27" t="inlineStr">
        <is>
          <t>002850</t>
        </is>
      </c>
      <c r="E27" t="inlineStr">
        <is>
          <t>科达利</t>
        </is>
      </c>
      <c r="F27" t="inlineStr">
        <is>
          <t>0.002850</t>
        </is>
      </c>
      <c r="G27" t="inlineStr">
        <is>
          <t>锂电结构件；机器人供应链待确认</t>
        </is>
      </c>
      <c r="H27" t="inlineStr">
        <is>
          <t/>
        </is>
      </c>
      <c r="I27" t="inlineStr">
        <is>
          <t>196.00</t>
        </is>
      </c>
      <c r="J27" t="inlineStr">
        <is>
          <t>0.00%</t>
        </is>
      </c>
      <c r="K27" t="inlineStr">
        <is>
          <t>86.58%</t>
        </is>
      </c>
      <c r="L27" t="inlineStr">
        <is>
          <t>28.78%</t>
        </is>
      </c>
      <c r="M27" t="inlineStr">
        <is>
          <t>8.88%</t>
        </is>
      </c>
      <c r="N27" t="inlineStr">
        <is>
          <t>7.05%</t>
        </is>
      </c>
      <c r="O27" t="inlineStr">
        <is>
          <t>561.2亿</t>
        </is>
      </c>
      <c r="P27" t="inlineStr">
        <is>
          <t>偏强</t>
        </is>
      </c>
      <c r="Q27" t="inlineStr">
        <is>
          <t>高 / 波动51% / 回撤-25%</t>
        </is>
      </c>
      <c r="R27" t="inlineStr">
        <is>
          <t>五金制品、铝盖板、塑料制品、压铸制品、模具、汽车配件的生产、销售及其它国内商业、物资供销业、货物和技术的进出口业务(以上均不含法律、行政法规、国务院决定规定需前置审批和禁止的项目),普通货运。</t>
        </is>
      </c>
      <c r="S27" t="inlineStr">
        <is>
          <t>机械设备-金属制品-金属制品</t>
        </is>
      </c>
      <c r="T27" t="str">
        <f>HYPERLINK("kline_charts/002850_科达利.html","打开K线图")</f>
        <v>打开K线图</v>
      </c>
      <c r="U27" t="inlineStr">
        <is>
          <t>已通过东方财富市场搜索</t>
        </is>
      </c>
      <c r="V27" t="inlineStr">
        <is>
          <t>观察</t>
        </is>
      </c>
    </row>
    <row r="28">
      <c r="A28" t="inlineStr">
        <is>
          <t>2026-07-09 12:26</t>
        </is>
      </c>
      <c r="B28" t="inlineStr">
        <is>
          <t>福赛科技</t>
        </is>
      </c>
      <c r="C28" t="inlineStr">
        <is>
          <t>股票</t>
        </is>
      </c>
      <c r="D28" t="inlineStr">
        <is>
          <t>301529</t>
        </is>
      </c>
      <c r="E28" t="inlineStr">
        <is>
          <t>福赛科技</t>
        </is>
      </c>
      <c r="F28" t="inlineStr">
        <is>
          <t>0.301529</t>
        </is>
      </c>
      <c r="G28" t="inlineStr">
        <is>
          <t>机器人/汽车零部件待确认</t>
        </is>
      </c>
      <c r="H28" t="inlineStr">
        <is>
          <t/>
        </is>
      </c>
      <c r="I28" t="inlineStr">
        <is>
          <t>107.90</t>
        </is>
      </c>
      <c r="J28" t="inlineStr">
        <is>
          <t>0.00%</t>
        </is>
      </c>
      <c r="K28" t="inlineStr">
        <is>
          <t>315.58%</t>
        </is>
      </c>
      <c r="L28" t="inlineStr">
        <is>
          <t>23.97%</t>
        </is>
      </c>
      <c r="M28" t="inlineStr">
        <is>
          <t>33.78%</t>
        </is>
      </c>
      <c r="N28" t="inlineStr">
        <is>
          <t>-8.44%</t>
        </is>
      </c>
      <c r="O28" t="inlineStr">
        <is>
          <t>127.8亿</t>
        </is>
      </c>
      <c r="P28" t="inlineStr">
        <is>
          <t>偏强</t>
        </is>
      </c>
      <c r="Q28" t="inlineStr">
        <is>
          <t>高 / 波动79% / 回撤-43%</t>
        </is>
      </c>
      <c r="R28" t="inlineStr">
        <is>
          <t>汽车零部件、新材料、模具研发、设计、制造、销售,塑胶产品生产销售及塑胶设备技术应用推广;汽车零部件原辅材料销售,自营和代理各类商品的进出口业务(国家限定企业经营或禁止出口的商品和技术除外)。</t>
        </is>
      </c>
      <c r="S28" t="inlineStr">
        <is>
          <t>交运设备-汽车-汽车零部件</t>
        </is>
      </c>
      <c r="T28" t="str">
        <f>HYPERLINK("kline_charts/301529_福赛科技.html","打开K线图")</f>
        <v>打开K线图</v>
      </c>
      <c r="U28" t="inlineStr">
        <is>
          <t>已通过东方财富市场搜索</t>
        </is>
      </c>
      <c r="V28" t="inlineStr">
        <is>
          <t>观察</t>
        </is>
      </c>
    </row>
    <row r="29">
      <c r="A29" t="inlineStr">
        <is>
          <t>2026-07-09 12:26</t>
        </is>
      </c>
      <c r="B29" t="inlineStr">
        <is>
          <t>航天电器</t>
        </is>
      </c>
      <c r="C29" t="inlineStr">
        <is>
          <t>股票</t>
        </is>
      </c>
      <c r="D29" t="inlineStr">
        <is>
          <t>002025</t>
        </is>
      </c>
      <c r="E29" t="inlineStr">
        <is>
          <t>航天电器</t>
        </is>
      </c>
      <c r="F29" t="inlineStr">
        <is>
          <t>0.002025</t>
        </is>
      </c>
      <c r="G29" t="inlineStr">
        <is>
          <t>商业航天；连接器</t>
        </is>
      </c>
      <c r="H29" t="inlineStr">
        <is>
          <t/>
        </is>
      </c>
      <c r="I29" t="inlineStr">
        <is>
          <t>80.16</t>
        </is>
      </c>
      <c r="J29" t="inlineStr">
        <is>
          <t>0.00%</t>
        </is>
      </c>
      <c r="K29" t="inlineStr">
        <is>
          <t>67.38%</t>
        </is>
      </c>
      <c r="L29" t="inlineStr">
        <is>
          <t>27.26%</t>
        </is>
      </c>
      <c r="M29" t="inlineStr">
        <is>
          <t>2.48%</t>
        </is>
      </c>
      <c r="N29" t="inlineStr">
        <is>
          <t>30.64%</t>
        </is>
      </c>
      <c r="O29" t="inlineStr">
        <is>
          <t>363.9亿</t>
        </is>
      </c>
      <c r="P29" t="inlineStr">
        <is>
          <t>偏强</t>
        </is>
      </c>
      <c r="Q29" t="inlineStr">
        <is>
          <t>高 / 波动57% / 回撤-30%</t>
        </is>
      </c>
      <c r="R29"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t>
        </is>
      </c>
      <c r="S29" t="inlineStr">
        <is>
          <t>电子设备-电子元件-电子元件</t>
        </is>
      </c>
      <c r="T29" t="str">
        <f>HYPERLINK("kline_charts/002025_航天电器.html","打开K线图")</f>
        <v>打开K线图</v>
      </c>
      <c r="U29" t="inlineStr">
        <is>
          <t>已通过东方财富市场搜索</t>
        </is>
      </c>
      <c r="V29" t="inlineStr">
        <is>
          <t>观察</t>
        </is>
      </c>
    </row>
    <row r="30">
      <c r="A30" t="inlineStr">
        <is>
          <t>2026-07-09 12:26</t>
        </is>
      </c>
      <c r="B30" t="inlineStr">
        <is>
          <t>华丰科技</t>
        </is>
      </c>
      <c r="C30" t="inlineStr">
        <is>
          <t>股票</t>
        </is>
      </c>
      <c r="D30" t="inlineStr">
        <is>
          <t>688629</t>
        </is>
      </c>
      <c r="E30" t="inlineStr">
        <is>
          <t>华丰科技</t>
        </is>
      </c>
      <c r="F30" t="inlineStr">
        <is>
          <t>1.688629</t>
        </is>
      </c>
      <c r="G30" t="inlineStr">
        <is>
          <t>华为昇腾；AI算力；高速连接器</t>
        </is>
      </c>
      <c r="H30" t="inlineStr">
        <is>
          <t/>
        </is>
      </c>
      <c r="I30" t="inlineStr">
        <is>
          <t>199.00</t>
        </is>
      </c>
      <c r="J30" t="inlineStr">
        <is>
          <t>0.00%</t>
        </is>
      </c>
      <c r="K30" t="inlineStr">
        <is>
          <t>277.82%</t>
        </is>
      </c>
      <c r="L30" t="inlineStr">
        <is>
          <t>90.52%</t>
        </is>
      </c>
      <c r="M30" t="inlineStr">
        <is>
          <t>56.93%</t>
        </is>
      </c>
      <c r="N30" t="inlineStr">
        <is>
          <t>54.29%</t>
        </is>
      </c>
      <c r="O30" t="inlineStr">
        <is>
          <t>931.8亿</t>
        </is>
      </c>
      <c r="P30" t="inlineStr">
        <is>
          <t>偏强</t>
        </is>
      </c>
      <c r="Q30" t="inlineStr">
        <is>
          <t>高 / 波动76% / 回撤-34%</t>
        </is>
      </c>
      <c r="R30" t="inlineStr">
        <is>
          <t>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t>
        </is>
      </c>
      <c r="S30" t="inlineStr">
        <is>
          <t>电子设备-电子设备制造-电子设备制造</t>
        </is>
      </c>
      <c r="T30" t="str">
        <f>HYPERLINK("kline_charts/688629_华丰科技.html","打开K线图")</f>
        <v>打开K线图</v>
      </c>
      <c r="U30" t="inlineStr">
        <is>
          <t>已通过东方财富市场搜索</t>
        </is>
      </c>
      <c r="V30" t="inlineStr">
        <is>
          <t>观察</t>
        </is>
      </c>
    </row>
    <row r="31">
      <c r="A31" t="inlineStr">
        <is>
          <t>2026-07-09 12:26</t>
        </is>
      </c>
      <c r="B31" t="inlineStr">
        <is>
          <t>昇腾</t>
        </is>
      </c>
      <c r="C31" t="inlineStr">
        <is>
          <t>概念/板块</t>
        </is>
      </c>
      <c r="D31" t="inlineStr">
        <is>
          <t>BK0995</t>
        </is>
      </c>
      <c r="E31" t="inlineStr">
        <is>
          <t>华为昇腾</t>
        </is>
      </c>
      <c r="F31" t="inlineStr">
        <is>
          <t>90.BK0995</t>
        </is>
      </c>
      <c r="G31" t="inlineStr">
        <is>
          <t>华为昇腾；AI算力</t>
        </is>
      </c>
      <c r="H31" t="inlineStr">
        <is>
          <t/>
        </is>
      </c>
      <c r="I31" t="inlineStr">
        <is>
          <t/>
        </is>
      </c>
      <c r="J31" t="inlineStr">
        <is>
          <t/>
        </is>
      </c>
      <c r="K31" t="inlineStr">
        <is>
          <t/>
        </is>
      </c>
      <c r="L31" t="inlineStr">
        <is>
          <t/>
        </is>
      </c>
      <c r="M31" t="inlineStr">
        <is>
          <t/>
        </is>
      </c>
      <c r="N31" t="inlineStr">
        <is>
          <t/>
        </is>
      </c>
      <c r="O31" t="inlineStr">
        <is>
          <t/>
        </is>
      </c>
      <c r="P31" t="inlineStr">
        <is>
          <t>待评估</t>
        </is>
      </c>
      <c r="Q31" t="inlineStr">
        <is>
          <t>待评估</t>
        </is>
      </c>
      <c r="R31" t="inlineStr">
        <is>
          <t>东方财富概念/行业板块。</t>
        </is>
      </c>
      <c r="S31" t="inlineStr">
        <is>
          <t/>
        </is>
      </c>
      <c r="T31" t="inlineStr">
        <is>
          <t/>
        </is>
      </c>
      <c r="U31" t="inlineStr">
        <is>
          <t>已通过东方财富市场搜索</t>
        </is>
      </c>
      <c r="V31" t="inlineStr">
        <is>
          <t>观察</t>
        </is>
      </c>
    </row>
    <row r="32">
      <c r="A32" t="inlineStr">
        <is>
          <t>2026-07-09 12:26</t>
        </is>
      </c>
      <c r="B32" t="inlineStr">
        <is>
          <t>杭电股份</t>
        </is>
      </c>
      <c r="C32" t="inlineStr">
        <is>
          <t>股票</t>
        </is>
      </c>
      <c r="D32" t="inlineStr">
        <is>
          <t>603618</t>
        </is>
      </c>
      <c r="E32" t="inlineStr">
        <is>
          <t>杭电股份</t>
        </is>
      </c>
      <c r="F32" t="inlineStr">
        <is>
          <t>1.603618</t>
        </is>
      </c>
      <c r="G32" t="inlineStr">
        <is>
          <t>AI算力；铜缆高速连接；电线电缆</t>
        </is>
      </c>
      <c r="H32" t="inlineStr">
        <is>
          <t/>
        </is>
      </c>
      <c r="I32" t="inlineStr">
        <is>
          <t>34.74</t>
        </is>
      </c>
      <c r="J32" t="inlineStr">
        <is>
          <t>0.00%</t>
        </is>
      </c>
      <c r="K32" t="inlineStr">
        <is>
          <t>423.98%</t>
        </is>
      </c>
      <c r="L32" t="inlineStr">
        <is>
          <t>312.10%</t>
        </is>
      </c>
      <c r="M32" t="inlineStr">
        <is>
          <t>31.79%</t>
        </is>
      </c>
      <c r="N32" t="inlineStr">
        <is>
          <t>-15.78%</t>
        </is>
      </c>
      <c r="O32" t="inlineStr">
        <is>
          <t>240.2亿</t>
        </is>
      </c>
      <c r="P32" t="inlineStr">
        <is>
          <t>偏强</t>
        </is>
      </c>
      <c r="Q32" t="inlineStr">
        <is>
          <t>高 / 波动77% / 回撤-39%</t>
        </is>
      </c>
      <c r="R32"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c r="S32" t="inlineStr">
        <is>
          <t>电气设备-输变电设备-电线电缆</t>
        </is>
      </c>
      <c r="T32" t="str">
        <f>HYPERLINK("kline_charts/603618_杭电股份.html","打开K线图")</f>
        <v>打开K线图</v>
      </c>
      <c r="U32" t="inlineStr">
        <is>
          <t>已通过东方财富市场搜索</t>
        </is>
      </c>
      <c r="V32" t="inlineStr">
        <is>
          <t>观察</t>
        </is>
      </c>
    </row>
    <row r="33">
      <c r="A33" t="inlineStr">
        <is>
          <t>2026-07-09 12:26</t>
        </is>
      </c>
      <c r="B33" t="inlineStr">
        <is>
          <t>海南海药</t>
        </is>
      </c>
      <c r="C33" t="inlineStr">
        <is>
          <t>股票</t>
        </is>
      </c>
      <c r="D33" t="inlineStr">
        <is>
          <t>000566</t>
        </is>
      </c>
      <c r="E33" t="inlineStr">
        <is>
          <t>海南海药</t>
        </is>
      </c>
      <c r="F33" t="inlineStr">
        <is>
          <t>0.000566</t>
        </is>
      </c>
      <c r="G33" t="inlineStr">
        <is>
          <t>医药</t>
        </is>
      </c>
      <c r="H33" t="inlineStr">
        <is>
          <t/>
        </is>
      </c>
      <c r="I33" t="inlineStr">
        <is>
          <t>4.72</t>
        </is>
      </c>
      <c r="J33" t="inlineStr">
        <is>
          <t>0.00%</t>
        </is>
      </c>
      <c r="K33" t="inlineStr">
        <is>
          <t>-26.13%</t>
        </is>
      </c>
      <c r="L33" t="inlineStr">
        <is>
          <t>-36.81%</t>
        </is>
      </c>
      <c r="M33" t="inlineStr">
        <is>
          <t>-10.61%</t>
        </is>
      </c>
      <c r="N33" t="inlineStr">
        <is>
          <t>21.03%</t>
        </is>
      </c>
      <c r="O33" t="inlineStr">
        <is>
          <t>61.2亿</t>
        </is>
      </c>
      <c r="P33" t="inlineStr">
        <is>
          <t>谨慎</t>
        </is>
      </c>
      <c r="Q33" t="inlineStr">
        <is>
          <t>高 / 波动59% / 回撤-58%</t>
        </is>
      </c>
      <c r="R3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c r="S33" t="inlineStr">
        <is>
          <t>医药生物-化学制药-化学制剂</t>
        </is>
      </c>
      <c r="T33" t="str">
        <f>HYPERLINK("kline_charts/000566_海南海药.html","打开K线图")</f>
        <v>打开K线图</v>
      </c>
      <c r="U33" t="inlineStr">
        <is>
          <t>已通过东方财富市场搜索</t>
        </is>
      </c>
      <c r="V33" t="inlineStr">
        <is>
          <t>观察</t>
        </is>
      </c>
    </row>
    <row r="34">
      <c r="A34" t="inlineStr">
        <is>
          <t>2026-07-09 12:26</t>
        </is>
      </c>
      <c r="B34" t="inlineStr">
        <is>
          <t>中石科技</t>
        </is>
      </c>
      <c r="C34" t="inlineStr">
        <is>
          <t>股票</t>
        </is>
      </c>
      <c r="D34" t="inlineStr">
        <is>
          <t>300684</t>
        </is>
      </c>
      <c r="E34" t="inlineStr">
        <is>
          <t>中石科技</t>
        </is>
      </c>
      <c r="F34" t="inlineStr">
        <is>
          <t>0.300684</t>
        </is>
      </c>
      <c r="G34" t="inlineStr">
        <is>
          <t>AI算力；散热材料；消费电子</t>
        </is>
      </c>
      <c r="H34" t="inlineStr">
        <is>
          <t/>
        </is>
      </c>
      <c r="I34" t="inlineStr">
        <is>
          <t>64.05</t>
        </is>
      </c>
      <c r="J34" t="inlineStr">
        <is>
          <t>0.00%</t>
        </is>
      </c>
      <c r="K34" t="inlineStr">
        <is>
          <t>158.86%</t>
        </is>
      </c>
      <c r="L34" t="inlineStr">
        <is>
          <t>32.93%</t>
        </is>
      </c>
      <c r="M34" t="inlineStr">
        <is>
          <t>24.87%</t>
        </is>
      </c>
      <c r="N34" t="inlineStr">
        <is>
          <t>17.93%</t>
        </is>
      </c>
      <c r="O34" t="inlineStr">
        <is>
          <t>191.8亿</t>
        </is>
      </c>
      <c r="P34" t="inlineStr">
        <is>
          <t>偏强</t>
        </is>
      </c>
      <c r="Q34" t="inlineStr">
        <is>
          <t>高 / 波动69% / 回撤-23%</t>
        </is>
      </c>
      <c r="R3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S34" t="inlineStr">
        <is>
          <t>基础化工-化学新材料-化学新材料</t>
        </is>
      </c>
      <c r="T34" t="str">
        <f>HYPERLINK("kline_charts/300684_中石科技.html","打开K线图")</f>
        <v>打开K线图</v>
      </c>
      <c r="U34" t="inlineStr">
        <is>
          <t>已通过东方财富市场搜索</t>
        </is>
      </c>
      <c r="V34" t="inlineStr">
        <is>
          <t>观察</t>
        </is>
      </c>
    </row>
    <row r="35">
      <c r="A35" t="inlineStr">
        <is>
          <t>2026-07-09 12:26</t>
        </is>
      </c>
      <c r="B35" t="inlineStr">
        <is>
          <t>申菱</t>
        </is>
      </c>
      <c r="C35" t="inlineStr">
        <is>
          <t>股票</t>
        </is>
      </c>
      <c r="D35" t="inlineStr">
        <is>
          <t>301018</t>
        </is>
      </c>
      <c r="E35" t="inlineStr">
        <is>
          <t>申菱环境</t>
        </is>
      </c>
      <c r="F35" t="inlineStr">
        <is>
          <t>0.301018</t>
        </is>
      </c>
      <c r="G35" t="inlineStr">
        <is>
          <t>AI算力；数据中心温控；液冷</t>
        </is>
      </c>
      <c r="H35" t="inlineStr">
        <is>
          <t/>
        </is>
      </c>
      <c r="I35" t="inlineStr">
        <is>
          <t>113.72</t>
        </is>
      </c>
      <c r="J35" t="inlineStr">
        <is>
          <t>0.00%</t>
        </is>
      </c>
      <c r="K35" t="inlineStr">
        <is>
          <t>323.54%</t>
        </is>
      </c>
      <c r="L35" t="inlineStr">
        <is>
          <t>135.10%</t>
        </is>
      </c>
      <c r="M35" t="inlineStr">
        <is>
          <t>53.01%</t>
        </is>
      </c>
      <c r="N35" t="inlineStr">
        <is>
          <t>9.35%</t>
        </is>
      </c>
      <c r="O35" t="inlineStr">
        <is>
          <t>425.6亿</t>
        </is>
      </c>
      <c r="P35" t="inlineStr">
        <is>
          <t>偏强</t>
        </is>
      </c>
      <c r="Q35" t="inlineStr">
        <is>
          <t>高 / 波动78% / 回撤-38%</t>
        </is>
      </c>
      <c r="R35"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t>
        </is>
      </c>
      <c r="S35" t="inlineStr">
        <is>
          <t>机械设备-专用设备-环保设备</t>
        </is>
      </c>
      <c r="T35" t="str">
        <f>HYPERLINK("kline_charts/301018_申菱环境.html","打开K线图")</f>
        <v>打开K线图</v>
      </c>
      <c r="U35" t="inlineStr">
        <is>
          <t>已通过东方财富市场搜索</t>
        </is>
      </c>
      <c r="V35" t="inlineStr">
        <is>
          <t>观察</t>
        </is>
      </c>
    </row>
    <row r="36">
      <c r="A36" t="inlineStr">
        <is>
          <t>2026-07-09 12:26</t>
        </is>
      </c>
      <c r="B36" t="inlineStr">
        <is>
          <t>501096</t>
        </is>
      </c>
      <c r="C36" t="inlineStr">
        <is>
          <t>基金</t>
        </is>
      </c>
      <c r="D36" t="inlineStr">
        <is>
          <t>501096</t>
        </is>
      </c>
      <c r="E36" t="inlineStr">
        <is>
          <t>国联安科创LOF</t>
        </is>
      </c>
      <c r="F36" t="inlineStr">
        <is>
          <t>1.501096</t>
        </is>
      </c>
      <c r="G36" t="inlineStr">
        <is>
          <t>基金</t>
        </is>
      </c>
      <c r="H36" t="inlineStr">
        <is>
          <t/>
        </is>
      </c>
      <c r="I36" t="inlineStr">
        <is>
          <t>2.11</t>
        </is>
      </c>
      <c r="J36" t="inlineStr">
        <is>
          <t>0.00%</t>
        </is>
      </c>
      <c r="K36" t="inlineStr">
        <is>
          <t>186.84%</t>
        </is>
      </c>
      <c r="L36" t="inlineStr">
        <is>
          <t>77.80%</t>
        </is>
      </c>
      <c r="M36" t="inlineStr">
        <is>
          <t>76.17%</t>
        </is>
      </c>
      <c r="N36" t="inlineStr">
        <is>
          <t>23.27%</t>
        </is>
      </c>
      <c r="O36" t="inlineStr">
        <is>
          <t>1.7亿</t>
        </is>
      </c>
      <c r="P36" t="inlineStr">
        <is>
          <t>偏强</t>
        </is>
      </c>
      <c r="Q36" t="inlineStr">
        <is>
          <t>高 / 波动45% / 回撤-21%</t>
        </is>
      </c>
      <c r="R36" t="inlineStr">
        <is>
          <t>市场可搜索基金/ETF，后续可补基金持仓与跟踪标的。</t>
        </is>
      </c>
      <c r="S36" t="inlineStr">
        <is>
          <t/>
        </is>
      </c>
      <c r="T36" t="str">
        <f>HYPERLINK("kline_charts/501096_国联安科创LOF.html","打开K线图")</f>
        <v>打开K线图</v>
      </c>
      <c r="U36" t="inlineStr">
        <is>
          <t>已通过东方财富市场搜索</t>
        </is>
      </c>
      <c r="V36" t="inlineStr">
        <is>
          <t>观察</t>
        </is>
      </c>
    </row>
    <row r="37">
      <c r="A37" t="inlineStr">
        <is>
          <t>2026-07-09 12:26</t>
        </is>
      </c>
      <c r="B37" t="inlineStr">
        <is>
          <t>中际旭创</t>
        </is>
      </c>
      <c r="C37" t="inlineStr">
        <is>
          <t>股票</t>
        </is>
      </c>
      <c r="D37" t="inlineStr">
        <is>
          <t>300308</t>
        </is>
      </c>
      <c r="E37" t="inlineStr">
        <is>
          <t>中际旭创</t>
        </is>
      </c>
      <c r="F37" t="inlineStr">
        <is>
          <t>0.300308</t>
        </is>
      </c>
      <c r="G37" t="inlineStr">
        <is>
          <t>AI算力；CPO；光模块</t>
        </is>
      </c>
      <c r="H37" t="inlineStr">
        <is>
          <t/>
        </is>
      </c>
      <c r="I37" t="inlineStr">
        <is>
          <t>1146.00</t>
        </is>
      </c>
      <c r="J37" t="inlineStr">
        <is>
          <t>0.00%</t>
        </is>
      </c>
      <c r="K37" t="inlineStr">
        <is>
          <t>689.31%</t>
        </is>
      </c>
      <c r="L37" t="inlineStr">
        <is>
          <t>92.78%</t>
        </is>
      </c>
      <c r="M37" t="inlineStr">
        <is>
          <t>65.60%</t>
        </is>
      </c>
      <c r="N37" t="inlineStr">
        <is>
          <t>-2.88%</t>
        </is>
      </c>
      <c r="O37" t="inlineStr">
        <is>
          <t>12780.6亿</t>
        </is>
      </c>
      <c r="P37" t="inlineStr">
        <is>
          <t>偏强</t>
        </is>
      </c>
      <c r="Q37" t="inlineStr">
        <is>
          <t>高 / 波动71% / 回撤-21%</t>
        </is>
      </c>
      <c r="R37"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S37" t="inlineStr">
        <is>
          <t>信息技术-通信设备-通信传输设备</t>
        </is>
      </c>
      <c r="T37" t="str">
        <f>HYPERLINK("kline_charts/300308_中际旭创.html","打开K线图")</f>
        <v>打开K线图</v>
      </c>
      <c r="U37" t="inlineStr">
        <is>
          <t>已通过东方财富市场搜索</t>
        </is>
      </c>
      <c r="V37" t="inlineStr">
        <is>
          <t>观察</t>
        </is>
      </c>
    </row>
    <row r="38">
      <c r="A38" t="inlineStr">
        <is>
          <t>2026-07-09 12:26</t>
        </is>
      </c>
      <c r="B38" t="inlineStr">
        <is>
          <t>新易盛</t>
        </is>
      </c>
      <c r="C38" t="inlineStr">
        <is>
          <t>股票</t>
        </is>
      </c>
      <c r="D38" t="inlineStr">
        <is>
          <t>300502</t>
        </is>
      </c>
      <c r="E38" t="inlineStr">
        <is>
          <t>新易盛</t>
        </is>
      </c>
      <c r="F38" t="inlineStr">
        <is>
          <t>0.300502</t>
        </is>
      </c>
      <c r="G38" t="inlineStr">
        <is>
          <t>AI算力；CPO；光模块</t>
        </is>
      </c>
      <c r="H38" t="inlineStr">
        <is>
          <t/>
        </is>
      </c>
      <c r="I38" t="inlineStr">
        <is>
          <t>520.96</t>
        </is>
      </c>
      <c r="J38" t="inlineStr">
        <is>
          <t>0.00%</t>
        </is>
      </c>
      <c r="K38" t="inlineStr">
        <is>
          <t>452.32%</t>
        </is>
      </c>
      <c r="L38" t="inlineStr">
        <is>
          <t>78.18%</t>
        </is>
      </c>
      <c r="M38" t="inlineStr">
        <is>
          <t>49.15%</t>
        </is>
      </c>
      <c r="N38" t="inlineStr">
        <is>
          <t>-7.06%</t>
        </is>
      </c>
      <c r="O38" t="inlineStr">
        <is>
          <t>7263.5亿</t>
        </is>
      </c>
      <c r="P38" t="inlineStr">
        <is>
          <t>偏强</t>
        </is>
      </c>
      <c r="Q38" t="inlineStr">
        <is>
          <t>高 / 波动78% / 回撤-29%</t>
        </is>
      </c>
      <c r="R3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c r="S38" t="inlineStr">
        <is>
          <t>信息技术-通信设备-通信传输设备</t>
        </is>
      </c>
      <c r="T38" t="str">
        <f>HYPERLINK("kline_charts/300502_新易盛.html","打开K线图")</f>
        <v>打开K线图</v>
      </c>
      <c r="U38" t="inlineStr">
        <is>
          <t>已通过东方财富市场搜索</t>
        </is>
      </c>
      <c r="V38" t="inlineStr">
        <is>
          <t>观察</t>
        </is>
      </c>
    </row>
    <row r="39">
      <c r="A39" t="inlineStr">
        <is>
          <t>2026-07-09 12:26</t>
        </is>
      </c>
      <c r="B39" t="inlineStr">
        <is>
          <t>兆易创新</t>
        </is>
      </c>
      <c r="C39" t="inlineStr">
        <is>
          <t>股票</t>
        </is>
      </c>
      <c r="D39" t="inlineStr">
        <is>
          <t>603986</t>
        </is>
      </c>
      <c r="E39" t="inlineStr">
        <is>
          <t>兆易创新</t>
        </is>
      </c>
      <c r="F39" t="inlineStr">
        <is>
          <t>1.603986</t>
        </is>
      </c>
      <c r="G39" t="inlineStr">
        <is>
          <t>存储；半导体；MCU</t>
        </is>
      </c>
      <c r="H39" t="inlineStr">
        <is>
          <t/>
        </is>
      </c>
      <c r="I39" t="inlineStr">
        <is>
          <t>640.00</t>
        </is>
      </c>
      <c r="J39" t="inlineStr">
        <is>
          <t>0.00%</t>
        </is>
      </c>
      <c r="K39" t="inlineStr">
        <is>
          <t>445.56%</t>
        </is>
      </c>
      <c r="L39" t="inlineStr">
        <is>
          <t>148.06%</t>
        </is>
      </c>
      <c r="M39" t="inlineStr">
        <is>
          <t>156.27%</t>
        </is>
      </c>
      <c r="N39" t="inlineStr">
        <is>
          <t>27.87%</t>
        </is>
      </c>
      <c r="O39" t="inlineStr">
        <is>
          <t>4491.2亿</t>
        </is>
      </c>
      <c r="P39" t="inlineStr">
        <is>
          <t>偏强</t>
        </is>
      </c>
      <c r="Q39" t="inlineStr">
        <is>
          <t>高 / 波动68% / 回撤-28%</t>
        </is>
      </c>
      <c r="R3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S39" t="inlineStr">
        <is>
          <t>电子设备-半导体-集成电路</t>
        </is>
      </c>
      <c r="T39" t="str">
        <f>HYPERLINK("kline_charts/603986_兆易创新.html","打开K线图")</f>
        <v>打开K线图</v>
      </c>
      <c r="U39" t="inlineStr">
        <is>
          <t>已通过东方财富市场搜索</t>
        </is>
      </c>
      <c r="V39" t="inlineStr">
        <is>
          <t>观察</t>
        </is>
      </c>
    </row>
    <row r="40">
      <c r="A40" t="inlineStr">
        <is>
          <t>2026-07-09 12:26</t>
        </is>
      </c>
      <c r="B40" t="inlineStr">
        <is>
          <t>珂玛科技</t>
        </is>
      </c>
      <c r="C40" t="inlineStr">
        <is>
          <t>股票</t>
        </is>
      </c>
      <c r="D40" t="inlineStr">
        <is>
          <t>301611</t>
        </is>
      </c>
      <c r="E40" t="inlineStr">
        <is>
          <t>珂玛科技</t>
        </is>
      </c>
      <c r="F40" t="inlineStr">
        <is>
          <t>0.301611</t>
        </is>
      </c>
      <c r="G40" t="inlineStr">
        <is>
          <t>半导体材料；先进陶瓷</t>
        </is>
      </c>
      <c r="H40" t="inlineStr">
        <is>
          <t/>
        </is>
      </c>
      <c r="I40" t="inlineStr">
        <is>
          <t>142.50</t>
        </is>
      </c>
      <c r="J40" t="inlineStr">
        <is>
          <t>0.00%</t>
        </is>
      </c>
      <c r="K40" t="inlineStr">
        <is>
          <t>172.21%</t>
        </is>
      </c>
      <c r="L40" t="inlineStr">
        <is>
          <t>20.09%</t>
        </is>
      </c>
      <c r="M40" t="inlineStr">
        <is>
          <t>48.47%</t>
        </is>
      </c>
      <c r="N40" t="inlineStr">
        <is>
          <t>26.11%</t>
        </is>
      </c>
      <c r="O40" t="inlineStr">
        <is>
          <t>621.3亿</t>
        </is>
      </c>
      <c r="P40" t="inlineStr">
        <is>
          <t>偏强</t>
        </is>
      </c>
      <c r="Q40" t="inlineStr">
        <is>
          <t>高 / 波动71% / 回撤-36%</t>
        </is>
      </c>
      <c r="R40"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一般项目:半导体器件专用设备制造;通用设备修理;专用设备修理;金属表面处理及热处理加工;机械零件、零部件加工(除依法须经批准的项目外,凭营业执照依法自主开展经营活动)</t>
        </is>
      </c>
      <c r="S40" t="inlineStr">
        <is>
          <t>电子设备-半导体-半导体材料</t>
        </is>
      </c>
      <c r="T40" t="str">
        <f>HYPERLINK("kline_charts/301611_珂玛科技.html","打开K线图")</f>
        <v>打开K线图</v>
      </c>
      <c r="U40" t="inlineStr">
        <is>
          <t>已通过东方财富市场搜索</t>
        </is>
      </c>
      <c r="V40" t="inlineStr">
        <is>
          <t>观察</t>
        </is>
      </c>
    </row>
    <row r="41">
      <c r="A41" t="inlineStr">
        <is>
          <t>2026-07-09 12:26</t>
        </is>
      </c>
      <c r="B41" t="inlineStr">
        <is>
          <t>大族激光</t>
        </is>
      </c>
      <c r="C41" t="inlineStr">
        <is>
          <t>股票</t>
        </is>
      </c>
      <c r="D41" t="inlineStr">
        <is>
          <t>002008</t>
        </is>
      </c>
      <c r="E41" t="inlineStr">
        <is>
          <t>大族激光</t>
        </is>
      </c>
      <c r="F41" t="inlineStr">
        <is>
          <t>0.002008</t>
        </is>
      </c>
      <c r="G41" t="inlineStr">
        <is>
          <t>机器人；智能制造；激光设备</t>
        </is>
      </c>
      <c r="H41" t="inlineStr">
        <is>
          <t/>
        </is>
      </c>
      <c r="I41" t="inlineStr">
        <is>
          <t>124.71</t>
        </is>
      </c>
      <c r="J41" t="inlineStr">
        <is>
          <t>0.00%</t>
        </is>
      </c>
      <c r="K41" t="inlineStr">
        <is>
          <t>413.21%</t>
        </is>
      </c>
      <c r="L41" t="inlineStr">
        <is>
          <t>193.64%</t>
        </is>
      </c>
      <c r="M41" t="inlineStr">
        <is>
          <t>63.75%</t>
        </is>
      </c>
      <c r="N41" t="inlineStr">
        <is>
          <t>0.17%</t>
        </is>
      </c>
      <c r="O41" t="inlineStr">
        <is>
          <t>1284.0亿</t>
        </is>
      </c>
      <c r="P41" t="inlineStr">
        <is>
          <t>偏强</t>
        </is>
      </c>
      <c r="Q41" t="inlineStr">
        <is>
          <t>高 / 波动61% / 回撤-23%</t>
        </is>
      </c>
      <c r="R41"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c r="S41" t="inlineStr">
        <is>
          <t>电子设备-电子设备制造-电子设备制造</t>
        </is>
      </c>
      <c r="T41" t="str">
        <f>HYPERLINK("kline_charts/002008_大族激光.html","打开K线图")</f>
        <v>打开K线图</v>
      </c>
      <c r="U41" t="inlineStr">
        <is>
          <t>已通过东方财富市场搜索</t>
        </is>
      </c>
      <c r="V41" t="inlineStr">
        <is>
          <t>观察</t>
        </is>
      </c>
    </row>
    <row r="42">
      <c r="A42" t="inlineStr">
        <is>
          <t>2026-07-09 12:26</t>
        </is>
      </c>
      <c r="B42" t="inlineStr">
        <is>
          <t>达实智能</t>
        </is>
      </c>
      <c r="C42" t="inlineStr">
        <is>
          <t>股票</t>
        </is>
      </c>
      <c r="D42" t="inlineStr">
        <is>
          <t>002421</t>
        </is>
      </c>
      <c r="E42" t="inlineStr">
        <is>
          <t>达实智能</t>
        </is>
      </c>
      <c r="F42" t="inlineStr">
        <is>
          <t>0.002421</t>
        </is>
      </c>
      <c r="G42" t="inlineStr">
        <is>
          <t>机器人；智能建筑；物联网</t>
        </is>
      </c>
      <c r="H42" t="inlineStr">
        <is>
          <t/>
        </is>
      </c>
      <c r="I42" t="inlineStr">
        <is>
          <t>3.00</t>
        </is>
      </c>
      <c r="J42" t="inlineStr">
        <is>
          <t>0.00%</t>
        </is>
      </c>
      <c r="K42" t="inlineStr">
        <is>
          <t>-11.50%</t>
        </is>
      </c>
      <c r="L42" t="inlineStr">
        <is>
          <t>2.04%</t>
        </is>
      </c>
      <c r="M42" t="inlineStr">
        <is>
          <t>9.49%</t>
        </is>
      </c>
      <c r="N42" t="inlineStr">
        <is>
          <t>-47.37%</t>
        </is>
      </c>
      <c r="O42" t="inlineStr">
        <is>
          <t>63.6亿</t>
        </is>
      </c>
      <c r="P42" t="inlineStr">
        <is>
          <t>谨慎</t>
        </is>
      </c>
      <c r="Q42" t="inlineStr">
        <is>
          <t>高 / 波动55% / 回撤-48%</t>
        </is>
      </c>
      <c r="R42" t="inlineStr">
        <is>
          <t/>
        </is>
      </c>
      <c r="S42" t="inlineStr">
        <is>
          <t/>
        </is>
      </c>
      <c r="T42" t="str">
        <f>HYPERLINK("kline_charts/002421_达实智能.html","打开K线图")</f>
        <v>打开K线图</v>
      </c>
      <c r="U42" t="inlineStr">
        <is>
          <t>已通过东方财富市场搜索</t>
        </is>
      </c>
      <c r="V42" t="inlineStr">
        <is>
          <t>观察</t>
        </is>
      </c>
    </row>
    <row r="43">
      <c r="A43" t="inlineStr">
        <is>
          <t>2026-07-09 12:26</t>
        </is>
      </c>
      <c r="B43" t="inlineStr">
        <is>
          <t>奕东电子</t>
        </is>
      </c>
      <c r="C43" t="inlineStr">
        <is>
          <t>股票</t>
        </is>
      </c>
      <c r="D43" t="inlineStr">
        <is>
          <t>301123</t>
        </is>
      </c>
      <c r="E43" t="inlineStr">
        <is>
          <t>奕东电子</t>
        </is>
      </c>
      <c r="F43" t="inlineStr">
        <is>
          <t>0.301123</t>
        </is>
      </c>
      <c r="G43" t="inlineStr">
        <is>
          <t>电子元件；连接器；FPC</t>
        </is>
      </c>
      <c r="H43" t="inlineStr">
        <is>
          <t/>
        </is>
      </c>
      <c r="I43" t="inlineStr">
        <is>
          <t>95.20</t>
        </is>
      </c>
      <c r="J43" t="inlineStr">
        <is>
          <t>0.00%</t>
        </is>
      </c>
      <c r="K43" t="inlineStr">
        <is>
          <t>264.88%</t>
        </is>
      </c>
      <c r="L43" t="inlineStr">
        <is>
          <t>36.08%</t>
        </is>
      </c>
      <c r="M43" t="inlineStr">
        <is>
          <t>46.01%</t>
        </is>
      </c>
      <c r="N43" t="inlineStr">
        <is>
          <t>-7.57%</t>
        </is>
      </c>
      <c r="O43" t="inlineStr">
        <is>
          <t>223.4亿</t>
        </is>
      </c>
      <c r="P43" t="inlineStr">
        <is>
          <t>偏强</t>
        </is>
      </c>
      <c r="Q43" t="inlineStr">
        <is>
          <t>高 / 波动89% / 回撤-38%</t>
        </is>
      </c>
      <c r="R43"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t>
        </is>
      </c>
      <c r="S43" t="inlineStr">
        <is>
          <t>电子设备-消费电子设备-消费电子设备</t>
        </is>
      </c>
      <c r="T43" t="str">
        <f>HYPERLINK("kline_charts/301123_奕东电子.html","打开K线图")</f>
        <v>打开K线图</v>
      </c>
      <c r="U43" t="inlineStr">
        <is>
          <t>已通过东方财富市场搜索</t>
        </is>
      </c>
      <c r="V43" t="inlineStr">
        <is>
          <t>观察</t>
        </is>
      </c>
    </row>
    <row r="44">
      <c r="A44" t="inlineStr">
        <is>
          <t>2026-07-09 12:26</t>
        </is>
      </c>
      <c r="B44" t="inlineStr">
        <is>
          <t>鼎龙股份</t>
        </is>
      </c>
      <c r="C44" t="inlineStr">
        <is>
          <t>股票</t>
        </is>
      </c>
      <c r="D44" t="inlineStr">
        <is>
          <t>300054</t>
        </is>
      </c>
      <c r="E44" t="inlineStr">
        <is>
          <t>鼎龙股份</t>
        </is>
      </c>
      <c r="F44" t="inlineStr">
        <is>
          <t>0.300054</t>
        </is>
      </c>
      <c r="G44" t="inlineStr">
        <is>
          <t>半导体材料；CMP抛光材料</t>
        </is>
      </c>
      <c r="H44" t="inlineStr">
        <is>
          <t/>
        </is>
      </c>
      <c r="I44" t="inlineStr">
        <is>
          <t>92.27</t>
        </is>
      </c>
      <c r="J44" t="inlineStr">
        <is>
          <t>0.00%</t>
        </is>
      </c>
      <c r="K44" t="inlineStr">
        <is>
          <t>226.97%</t>
        </is>
      </c>
      <c r="L44" t="inlineStr">
        <is>
          <t>103.06%</t>
        </is>
      </c>
      <c r="M44" t="inlineStr">
        <is>
          <t>76.59%</t>
        </is>
      </c>
      <c r="N44" t="inlineStr">
        <is>
          <t>33.72%</t>
        </is>
      </c>
      <c r="O44" t="inlineStr">
        <is>
          <t>879.6亿</t>
        </is>
      </c>
      <c r="P44" t="inlineStr">
        <is>
          <t>偏强</t>
        </is>
      </c>
      <c r="Q44" t="inlineStr">
        <is>
          <t>高 / 波动55% / 回撤-18%</t>
        </is>
      </c>
      <c r="R4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t>
        </is>
      </c>
      <c r="S44" t="inlineStr">
        <is>
          <t>电子设备-半导体-半导体材料</t>
        </is>
      </c>
      <c r="T44" t="str">
        <f>HYPERLINK("kline_charts/300054_鼎龙股份.html","打开K线图")</f>
        <v>打开K线图</v>
      </c>
      <c r="U44" t="inlineStr">
        <is>
          <t>已通过东方财富市场搜索</t>
        </is>
      </c>
      <c r="V44" t="inlineStr">
        <is>
          <t>观察</t>
        </is>
      </c>
    </row>
    <row r="45">
      <c r="A45" t="inlineStr">
        <is>
          <t>2026-07-09 12:26</t>
        </is>
      </c>
      <c r="B45" t="inlineStr">
        <is>
          <t>超捷股份</t>
        </is>
      </c>
      <c r="C45" t="inlineStr">
        <is>
          <t>股票</t>
        </is>
      </c>
      <c r="D45" t="inlineStr">
        <is>
          <t>301005</t>
        </is>
      </c>
      <c r="E45" t="inlineStr">
        <is>
          <t>超捷股份</t>
        </is>
      </c>
      <c r="F45" t="inlineStr">
        <is>
          <t>0.301005</t>
        </is>
      </c>
      <c r="G45" t="inlineStr">
        <is>
          <t>机器人；汽车零部件；商业航天待确认</t>
        </is>
      </c>
      <c r="H45" t="inlineStr">
        <is>
          <t/>
        </is>
      </c>
      <c r="I45" t="inlineStr">
        <is>
          <t>96.67</t>
        </is>
      </c>
      <c r="J45" t="inlineStr">
        <is>
          <t>0.00%</t>
        </is>
      </c>
      <c r="K45" t="inlineStr">
        <is>
          <t>281.24%</t>
        </is>
      </c>
      <c r="L45" t="inlineStr">
        <is>
          <t>-21.65%</t>
        </is>
      </c>
      <c r="M45" t="inlineStr">
        <is>
          <t>-9.71%</t>
        </is>
      </c>
      <c r="N45" t="inlineStr">
        <is>
          <t>-3.19%</t>
        </is>
      </c>
      <c r="O45" t="inlineStr">
        <is>
          <t>181.7亿</t>
        </is>
      </c>
      <c r="P45" t="inlineStr">
        <is>
          <t>偏强</t>
        </is>
      </c>
      <c r="Q45" t="inlineStr">
        <is>
          <t>高 / 波动88% / 回撤-39%</t>
        </is>
      </c>
      <c r="R45" t="inlineStr">
        <is>
          <t>从事关键机械基础件(五金件、汽车零部件)的生产及销售,机械科技领域内的技术开发,塑料制品的销售,道路货物运输,货物及技术的进出口业务。【依法须经批准的项目,经相关部门批准后方可开展经营活动】</t>
        </is>
      </c>
      <c r="S45" t="inlineStr">
        <is>
          <t>交运设备-汽车-汽车零部件</t>
        </is>
      </c>
      <c r="T45" t="str">
        <f>HYPERLINK("kline_charts/301005_超捷股份.html","打开K线图")</f>
        <v>打开K线图</v>
      </c>
      <c r="U45" t="inlineStr">
        <is>
          <t>已通过东方财富市场搜索</t>
        </is>
      </c>
      <c r="V45" t="inlineStr">
        <is>
          <t>观察</t>
        </is>
      </c>
    </row>
    <row r="46">
      <c r="A46" t="inlineStr">
        <is>
          <t>2026-07-09 12:26</t>
        </is>
      </c>
      <c r="B46" t="inlineStr">
        <is>
          <t>晶瑞电材料</t>
        </is>
      </c>
      <c r="C46" t="inlineStr">
        <is>
          <t>股票</t>
        </is>
      </c>
      <c r="D46" t="inlineStr">
        <is>
          <t>300655</t>
        </is>
      </c>
      <c r="E46" t="inlineStr">
        <is>
          <t>晶瑞电材</t>
        </is>
      </c>
      <c r="F46" t="inlineStr">
        <is>
          <t>0.300655</t>
        </is>
      </c>
      <c r="G46" t="inlineStr">
        <is>
          <t>电子化学品；光刻胶；半导体材料</t>
        </is>
      </c>
      <c r="H46" t="inlineStr">
        <is>
          <t/>
        </is>
      </c>
      <c r="I46" t="inlineStr">
        <is>
          <t>18.08</t>
        </is>
      </c>
      <c r="J46" t="inlineStr">
        <is>
          <t>0.00%</t>
        </is>
      </c>
      <c r="K46" t="inlineStr">
        <is>
          <t>96.56%</t>
        </is>
      </c>
      <c r="L46" t="inlineStr">
        <is>
          <t>-0.44%</t>
        </is>
      </c>
      <c r="M46" t="inlineStr">
        <is>
          <t>27.51%</t>
        </is>
      </c>
      <c r="N46" t="inlineStr">
        <is>
          <t>20.69%</t>
        </is>
      </c>
      <c r="O46" t="inlineStr">
        <is>
          <t>203.7亿</t>
        </is>
      </c>
      <c r="P46" t="inlineStr">
        <is>
          <t>偏强</t>
        </is>
      </c>
      <c r="Q46" t="inlineStr">
        <is>
          <t>高 / 波动59% / 回撤-31%</t>
        </is>
      </c>
      <c r="R46" t="inlineStr">
        <is>
          <t>生产电子工业用超纯化学材料(硫酸、硝酸、盐酸、氢氟酸、乙酸[含量&gt;80%]、2-丙醇、氟化铵、过氧化氢[20%≤含量≤60%]、氨溶液[10%&lt;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t>
        </is>
      </c>
      <c r="S46" t="inlineStr">
        <is>
          <t>基础化工-化学原料-其他化学原料</t>
        </is>
      </c>
      <c r="T46" t="str">
        <f>HYPERLINK("kline_charts/300655_晶瑞电材.html","打开K线图")</f>
        <v>打开K线图</v>
      </c>
      <c r="U46" t="inlineStr">
        <is>
          <t>已通过东方财富市场搜索</t>
        </is>
      </c>
      <c r="V46" t="inlineStr">
        <is>
          <t>观察</t>
        </is>
      </c>
    </row>
    <row r="47">
      <c r="A47" t="inlineStr">
        <is>
          <t>2026-07-09 12:26</t>
        </is>
      </c>
      <c r="B47" t="inlineStr">
        <is>
          <t>旭光电子</t>
        </is>
      </c>
      <c r="C47" t="inlineStr">
        <is>
          <t>股票</t>
        </is>
      </c>
      <c r="D47" t="inlineStr">
        <is>
          <t>600353</t>
        </is>
      </c>
      <c r="E47" t="inlineStr">
        <is>
          <t>旭光电子</t>
        </is>
      </c>
      <c r="F47" t="inlineStr">
        <is>
          <t>1.600353</t>
        </is>
      </c>
      <c r="G47" t="inlineStr">
        <is>
          <t>电子元件；真空器件；陶瓷材料</t>
        </is>
      </c>
      <c r="H47" t="inlineStr">
        <is>
          <t/>
        </is>
      </c>
      <c r="I47" t="inlineStr">
        <is>
          <t>40.88</t>
        </is>
      </c>
      <c r="J47" t="inlineStr">
        <is>
          <t>0.00%</t>
        </is>
      </c>
      <c r="K47" t="inlineStr">
        <is>
          <t>190.13%</t>
        </is>
      </c>
      <c r="L47" t="inlineStr">
        <is>
          <t>131.61%</t>
        </is>
      </c>
      <c r="M47" t="inlineStr">
        <is>
          <t>176.96%</t>
        </is>
      </c>
      <c r="N47" t="inlineStr">
        <is>
          <t>56.69%</t>
        </is>
      </c>
      <c r="O47" t="inlineStr">
        <is>
          <t>338.8亿</t>
        </is>
      </c>
      <c r="P47" t="inlineStr">
        <is>
          <t>偏强</t>
        </is>
      </c>
      <c r="Q47" t="inlineStr">
        <is>
          <t>高 / 波动68% / 回撤-34%</t>
        </is>
      </c>
      <c r="R47" t="inlineStr">
        <is>
          <t>研制、开发、生产和销售电子真空器件、电子整机、高低压成套配电装置、电子通信产品(不含无线电发射设备)、电子元器件、集成电路、电子系统、电子应用产品、计算机软硬件、计算机网络产品、办公自动化设备;按中华人民共和国对外贸易经济合作部[1995]外经贸政审函字1529号文件核定范围,从事进出口业务。批发和零售电子电器设备、电子工业专用设备、模具、专用陶瓷、工业气体、建筑装饰材料、火灾计算机控制系统及消防器材;提供科技咨询服务。(依法须经批准…</t>
        </is>
      </c>
      <c r="S47" t="inlineStr">
        <is>
          <t>电子设备-电子器件-其他电子器件</t>
        </is>
      </c>
      <c r="T47" t="str">
        <f>HYPERLINK("kline_charts/600353_旭光电子.html","打开K线图")</f>
        <v>打开K线图</v>
      </c>
      <c r="U47" t="inlineStr">
        <is>
          <t>已通过东方财富市场搜索</t>
        </is>
      </c>
      <c r="V47" t="inlineStr">
        <is>
          <t>观察</t>
        </is>
      </c>
    </row>
    <row r="48">
      <c r="A48" t="inlineStr">
        <is>
          <t>2026-07-09 12:26</t>
        </is>
      </c>
      <c r="B48" t="inlineStr">
        <is>
          <t>ST华谊</t>
        </is>
      </c>
      <c r="C48" t="inlineStr">
        <is>
          <t>股票</t>
        </is>
      </c>
      <c r="D48" t="inlineStr">
        <is>
          <t>300027</t>
        </is>
      </c>
      <c r="E48" t="inlineStr">
        <is>
          <t>ST华谊</t>
        </is>
      </c>
      <c r="F48" t="inlineStr">
        <is>
          <t>0.300027</t>
        </is>
      </c>
      <c r="G48" t="inlineStr">
        <is>
          <t>待确认</t>
        </is>
      </c>
      <c r="H48" t="inlineStr">
        <is>
          <t/>
        </is>
      </c>
      <c r="I48" t="inlineStr">
        <is>
          <t>1.71</t>
        </is>
      </c>
      <c r="J48" t="inlineStr">
        <is>
          <t>0.00%</t>
        </is>
      </c>
      <c r="K48" t="inlineStr">
        <is>
          <t>-37.82%</t>
        </is>
      </c>
      <c r="L48" t="inlineStr">
        <is>
          <t>-23.32%</t>
        </is>
      </c>
      <c r="M48" t="inlineStr">
        <is>
          <t>12.50%</t>
        </is>
      </c>
      <c r="N48" t="inlineStr">
        <is>
          <t>-9.52%</t>
        </is>
      </c>
      <c r="O48" t="inlineStr">
        <is>
          <t>47.4亿</t>
        </is>
      </c>
      <c r="P48" t="inlineStr">
        <is>
          <t>谨慎</t>
        </is>
      </c>
      <c r="Q48" t="inlineStr">
        <is>
          <t>高 / 波动54% / 回撤-51%</t>
        </is>
      </c>
      <c r="R48"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企业形象策划。</t>
        </is>
      </c>
      <c r="S48" t="inlineStr">
        <is>
          <t>文化传媒-影视动漫-影视</t>
        </is>
      </c>
      <c r="T48" t="str">
        <f>HYPERLINK("kline_charts/300027_ST华谊.html","打开K线图")</f>
        <v>打开K线图</v>
      </c>
      <c r="U48" t="inlineStr">
        <is>
          <t>已通过东方财富市场搜索</t>
        </is>
      </c>
      <c r="V48" t="inlineStr">
        <is>
          <t>观察</t>
        </is>
      </c>
    </row>
    <row r="49">
      <c r="A49" t="inlineStr">
        <is>
          <t>2026-07-09 12:26</t>
        </is>
      </c>
      <c r="B49" t="inlineStr">
        <is>
          <t>玻璃基板板块</t>
        </is>
      </c>
      <c r="C49" t="inlineStr">
        <is>
          <t>概念/板块</t>
        </is>
      </c>
      <c r="D49" t="inlineStr">
        <is>
          <t>BK1175</t>
        </is>
      </c>
      <c r="E49" t="inlineStr">
        <is>
          <t>玻璃基板</t>
        </is>
      </c>
      <c r="F49" t="inlineStr">
        <is>
          <t>90.BK1175</t>
        </is>
      </c>
      <c r="G49" t="inlineStr">
        <is>
          <t>玻璃基板板块</t>
        </is>
      </c>
      <c r="H49" t="inlineStr">
        <is>
          <t/>
        </is>
      </c>
      <c r="I49" t="inlineStr">
        <is>
          <t/>
        </is>
      </c>
      <c r="J49" t="inlineStr">
        <is>
          <t/>
        </is>
      </c>
      <c r="K49" t="inlineStr">
        <is>
          <t/>
        </is>
      </c>
      <c r="L49" t="inlineStr">
        <is>
          <t/>
        </is>
      </c>
      <c r="M49" t="inlineStr">
        <is>
          <t/>
        </is>
      </c>
      <c r="N49" t="inlineStr">
        <is>
          <t/>
        </is>
      </c>
      <c r="O49" t="inlineStr">
        <is>
          <t/>
        </is>
      </c>
      <c r="P49" t="inlineStr">
        <is>
          <t>待评估</t>
        </is>
      </c>
      <c r="Q49" t="inlineStr">
        <is>
          <t>待评估</t>
        </is>
      </c>
      <c r="R49" t="inlineStr">
        <is>
          <t>东方财富概念/行业板块。</t>
        </is>
      </c>
      <c r="S49" t="inlineStr">
        <is>
          <t/>
        </is>
      </c>
      <c r="T49" t="inlineStr">
        <is>
          <t/>
        </is>
      </c>
      <c r="U49" t="inlineStr">
        <is>
          <t>已通过东方财富市场搜索</t>
        </is>
      </c>
      <c r="V49" t="inlineStr">
        <is>
          <t>观察</t>
        </is>
      </c>
    </row>
    <row r="50">
      <c r="A50" t="inlineStr">
        <is>
          <t>2026-07-09 12:26</t>
        </is>
      </c>
      <c r="B50" t="inlineStr">
        <is>
          <t>凯盛</t>
        </is>
      </c>
      <c r="C50" t="inlineStr">
        <is>
          <t>股票</t>
        </is>
      </c>
      <c r="D50" t="inlineStr">
        <is>
          <t>600552</t>
        </is>
      </c>
      <c r="E50" t="inlineStr">
        <is>
          <t>凯盛科技</t>
        </is>
      </c>
      <c r="F50" t="inlineStr">
        <is>
          <t>1.600552</t>
        </is>
      </c>
      <c r="G50" t="inlineStr">
        <is>
          <t>玻璃基板；显示材料</t>
        </is>
      </c>
      <c r="H50" t="inlineStr">
        <is>
          <t/>
        </is>
      </c>
      <c r="I50" t="inlineStr">
        <is>
          <t>22.07</t>
        </is>
      </c>
      <c r="J50" t="inlineStr">
        <is>
          <t>0.00%</t>
        </is>
      </c>
      <c r="K50" t="inlineStr">
        <is>
          <t>95.48%</t>
        </is>
      </c>
      <c r="L50" t="inlineStr">
        <is>
          <t>63.12%</t>
        </is>
      </c>
      <c r="M50" t="inlineStr">
        <is>
          <t>72.29%</t>
        </is>
      </c>
      <c r="N50" t="inlineStr">
        <is>
          <t>-2.73%</t>
        </is>
      </c>
      <c r="O50" t="inlineStr">
        <is>
          <t>208.5亿</t>
        </is>
      </c>
      <c r="P50" t="inlineStr">
        <is>
          <t>偏强</t>
        </is>
      </c>
      <c r="Q50" t="inlineStr">
        <is>
          <t>高 / 波动53% / 回撤-33%</t>
        </is>
      </c>
      <c r="R50" t="inlineStr">
        <is>
          <t>ITO导电膜玻璃、真空镀膜玻璃、盖板玻璃、柔性薄膜、显示模组、触控模组等电子产品、光电产品及配件的开发、研究、生产、销售、系统集成(不含限制项目)。新材料的技术转让、开发、咨询及技术服务;精密陶瓷、精细化工及电子行业用硅质、铝质粉体材料的生产及销售;化工原料、建筑材料、机械设备销售;信息咨询;本企业自产产品及相关技术出口,本企业生产所需的原辅材料、仪器仪表、机械设备、零配件及技术进口(国家限定公司经营和国家禁止进口的商品及技术除外)。…</t>
        </is>
      </c>
      <c r="S50" t="inlineStr">
        <is>
          <t>电子设备-电子器件-显示器件</t>
        </is>
      </c>
      <c r="T50" t="str">
        <f>HYPERLINK("kline_charts/600552_凯盛科技.html","打开K线图")</f>
        <v>打开K线图</v>
      </c>
      <c r="U50" t="inlineStr">
        <is>
          <t>已通过东方财富市场搜索</t>
        </is>
      </c>
      <c r="V50" t="inlineStr">
        <is>
          <t>观察</t>
        </is>
      </c>
    </row>
    <row r="51">
      <c r="A51" t="inlineStr">
        <is>
          <t>2026-07-09 12:26</t>
        </is>
      </c>
      <c r="B51" t="inlineStr">
        <is>
          <t>璞泰来</t>
        </is>
      </c>
      <c r="C51" t="inlineStr">
        <is>
          <t>股票</t>
        </is>
      </c>
      <c r="D51" t="inlineStr">
        <is>
          <t>603659</t>
        </is>
      </c>
      <c r="E51" t="inlineStr">
        <is>
          <t>璞泰来</t>
        </is>
      </c>
      <c r="F51" t="inlineStr">
        <is>
          <t>1.603659</t>
        </is>
      </c>
      <c r="G51" t="inlineStr">
        <is>
          <t>锂电材料；负极材料；涂覆隔膜</t>
        </is>
      </c>
      <c r="H51" t="inlineStr">
        <is>
          <t/>
        </is>
      </c>
      <c r="I51" t="inlineStr">
        <is>
          <t>24.77</t>
        </is>
      </c>
      <c r="J51" t="inlineStr">
        <is>
          <t>0.00%</t>
        </is>
      </c>
      <c r="K51" t="inlineStr">
        <is>
          <t>36.40%</t>
        </is>
      </c>
      <c r="L51" t="inlineStr">
        <is>
          <t>-8.83%</t>
        </is>
      </c>
      <c r="M51" t="inlineStr">
        <is>
          <t>-21.81%</t>
        </is>
      </c>
      <c r="N51" t="inlineStr">
        <is>
          <t>-11.25%</t>
        </is>
      </c>
      <c r="O51" t="inlineStr">
        <is>
          <t>531.1亿</t>
        </is>
      </c>
      <c r="P51" t="inlineStr">
        <is>
          <t>偏强</t>
        </is>
      </c>
      <c r="Q51" t="inlineStr">
        <is>
          <t>高 / 波动48% / 回撤-34%</t>
        </is>
      </c>
      <c r="R51" t="inlineStr">
        <is>
          <t>一般项目:电池零配件销售;石墨及碳素制品销售;电子专用材料销售;新型膜材料销售;新材料技术研发;机械电气设备销售;电气设备销售;软件销售;技术服务、技术开发、技术咨询、技术交流、技术转让、技术推广;合成材料销售;货物进出口。(除依法须经批准的项目外,凭营业执照依法自主开展经营活动)</t>
        </is>
      </c>
      <c r="S51" t="inlineStr">
        <is>
          <t>有色金属-金属非金属新材料-电池材料</t>
        </is>
      </c>
      <c r="T51" t="str">
        <f>HYPERLINK("kline_charts/603659_璞泰来.html","打开K线图")</f>
        <v>打开K线图</v>
      </c>
      <c r="U51" t="inlineStr">
        <is>
          <t>已通过东方财富市场搜索</t>
        </is>
      </c>
      <c r="V51" t="inlineStr">
        <is>
          <t>观察</t>
        </is>
      </c>
    </row>
    <row r="52">
      <c r="A52" t="inlineStr">
        <is>
          <t>2026-07-09 12:26</t>
        </is>
      </c>
      <c r="B52" t="inlineStr">
        <is>
          <t>电子布</t>
        </is>
      </c>
      <c r="C52" t="inlineStr">
        <is>
          <t>概念/板块</t>
        </is>
      </c>
      <c r="D52" t="inlineStr">
        <is>
          <t>CUSTOM_电子布</t>
        </is>
      </c>
      <c r="E52" t="inlineStr">
        <is>
          <t>电子布</t>
        </is>
      </c>
      <c r="F52" t="inlineStr">
        <is>
          <t/>
        </is>
      </c>
      <c r="G52" t="inlineStr">
        <is>
          <t>电子布；PCB材料</t>
        </is>
      </c>
      <c r="H52" t="inlineStr">
        <is>
          <t/>
        </is>
      </c>
      <c r="I52" t="inlineStr">
        <is>
          <t/>
        </is>
      </c>
      <c r="J52" t="inlineStr">
        <is>
          <t/>
        </is>
      </c>
      <c r="K52" t="inlineStr">
        <is>
          <t/>
        </is>
      </c>
      <c r="L52" t="inlineStr">
        <is>
          <t/>
        </is>
      </c>
      <c r="M52" t="inlineStr">
        <is>
          <t/>
        </is>
      </c>
      <c r="N52" t="inlineStr">
        <is>
          <t/>
        </is>
      </c>
      <c r="O52" t="inlineStr">
        <is>
          <t/>
        </is>
      </c>
      <c r="P52" t="inlineStr">
        <is>
          <t>待评估</t>
        </is>
      </c>
      <c r="Q52" t="inlineStr">
        <is>
          <t>待评估</t>
        </is>
      </c>
      <c r="R52" t="inlineStr">
        <is>
          <t>自定义分类板块，未绑定行情涨跌幅；用于归集相关股票。</t>
        </is>
      </c>
      <c r="S52" t="inlineStr">
        <is>
          <t/>
        </is>
      </c>
      <c r="T52" t="inlineStr">
        <is>
          <t/>
        </is>
      </c>
      <c r="U52" t="inlineStr">
        <is>
          <t>自定义板块（未绑定行情）</t>
        </is>
      </c>
      <c r="V52" t="inlineStr">
        <is>
          <t>观察</t>
        </is>
      </c>
    </row>
    <row r="53">
      <c r="A53" t="inlineStr">
        <is>
          <t>2026-07-09 12:26</t>
        </is>
      </c>
      <c r="B53" t="inlineStr">
        <is>
          <t>泰嘉股份</t>
        </is>
      </c>
      <c r="C53" t="inlineStr">
        <is>
          <t>股票</t>
        </is>
      </c>
      <c r="D53" t="inlineStr">
        <is>
          <t>002843</t>
        </is>
      </c>
      <c r="E53" t="inlineStr">
        <is>
          <t>泰嘉股份</t>
        </is>
      </c>
      <c r="F53" t="inlineStr">
        <is>
          <t>0.002843</t>
        </is>
      </c>
      <c r="G53" t="inlineStr">
        <is>
          <t>电子布/PCB待确认；先进制造</t>
        </is>
      </c>
      <c r="H53" t="inlineStr">
        <is>
          <t/>
        </is>
      </c>
      <c r="I53" t="inlineStr">
        <is>
          <t>22.51</t>
        </is>
      </c>
      <c r="J53" t="inlineStr">
        <is>
          <t>0.00%</t>
        </is>
      </c>
      <c r="K53" t="inlineStr">
        <is>
          <t>11.88%</t>
        </is>
      </c>
      <c r="L53" t="inlineStr">
        <is>
          <t>2.23%</t>
        </is>
      </c>
      <c r="M53" t="inlineStr">
        <is>
          <t>-9.96%</t>
        </is>
      </c>
      <c r="N53" t="inlineStr">
        <is>
          <t>4.21%</t>
        </is>
      </c>
      <c r="O53" t="inlineStr">
        <is>
          <t>56.7亿</t>
        </is>
      </c>
      <c r="P53" t="inlineStr">
        <is>
          <t>偏强</t>
        </is>
      </c>
      <c r="Q53" t="inlineStr">
        <is>
          <t>高 / 波动56% / 回撤-35%</t>
        </is>
      </c>
      <c r="R53"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t>
        </is>
      </c>
      <c r="S53" t="inlineStr">
        <is>
          <t>机械设备-通用设备-其他通用机械</t>
        </is>
      </c>
      <c r="T53" t="str">
        <f>HYPERLINK("kline_charts/002843_泰嘉股份.html","打开K线图")</f>
        <v>打开K线图</v>
      </c>
      <c r="U53" t="inlineStr">
        <is>
          <t>已通过东方财富市场搜索</t>
        </is>
      </c>
      <c r="V53" t="inlineStr">
        <is>
          <t>观察</t>
        </is>
      </c>
    </row>
    <row r="54">
      <c r="A54" t="inlineStr">
        <is>
          <t>2026-07-09 12:26</t>
        </is>
      </c>
      <c r="B54" t="inlineStr">
        <is>
          <t>绿地谐波</t>
        </is>
      </c>
      <c r="C54" t="inlineStr">
        <is>
          <t>股票</t>
        </is>
      </c>
      <c r="D54" t="inlineStr">
        <is>
          <t>688017</t>
        </is>
      </c>
      <c r="E54" t="inlineStr">
        <is>
          <t>绿的谐波</t>
        </is>
      </c>
      <c r="F54" t="inlineStr">
        <is>
          <t>1.688017</t>
        </is>
      </c>
      <c r="G54" t="inlineStr">
        <is>
          <t>机器人；谐波减速器；人形机器人</t>
        </is>
      </c>
      <c r="H54" t="inlineStr">
        <is>
          <t/>
        </is>
      </c>
      <c r="I54" t="inlineStr">
        <is>
          <t>394.92</t>
        </is>
      </c>
      <c r="J54" t="inlineStr">
        <is>
          <t>0.00%</t>
        </is>
      </c>
      <c r="K54" t="inlineStr">
        <is>
          <t>232.26%</t>
        </is>
      </c>
      <c r="L54" t="inlineStr">
        <is>
          <t>106.76%</t>
        </is>
      </c>
      <c r="M54" t="inlineStr">
        <is>
          <t>98.17%</t>
        </is>
      </c>
      <c r="N54" t="inlineStr">
        <is>
          <t>-6.01%</t>
        </is>
      </c>
      <c r="O54" t="inlineStr">
        <is>
          <t>724.0亿</t>
        </is>
      </c>
      <c r="P54" t="inlineStr">
        <is>
          <t>偏强</t>
        </is>
      </c>
      <c r="Q54" t="inlineStr">
        <is>
          <t>高 / 波动67% / 回撤-25%</t>
        </is>
      </c>
      <c r="R54"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c r="S54" t="inlineStr">
        <is>
          <t>机械设备-通用设备-其他通用机械</t>
        </is>
      </c>
      <c r="T54" t="str">
        <f>HYPERLINK("kline_charts/688017_绿的谐波.html","打开K线图")</f>
        <v>打开K线图</v>
      </c>
      <c r="U54" t="inlineStr">
        <is>
          <t>已通过东方财富市场搜索</t>
        </is>
      </c>
      <c r="V54" t="inlineStr">
        <is>
          <t>观察</t>
        </is>
      </c>
    </row>
    <row r="55">
      <c r="A55" t="inlineStr">
        <is>
          <t>2026-07-09 12:26</t>
        </is>
      </c>
      <c r="B55" t="inlineStr">
        <is>
          <t>昊志机电</t>
        </is>
      </c>
      <c r="C55" t="inlineStr">
        <is>
          <t>股票</t>
        </is>
      </c>
      <c r="D55" t="inlineStr">
        <is>
          <t>300503</t>
        </is>
      </c>
      <c r="E55" t="inlineStr">
        <is>
          <t>昊志机电</t>
        </is>
      </c>
      <c r="F55" t="inlineStr">
        <is>
          <t>0.300503</t>
        </is>
      </c>
      <c r="G55" t="inlineStr">
        <is>
          <t>机器人；电主轴；伺服系统；工业母机</t>
        </is>
      </c>
      <c r="H55" t="inlineStr">
        <is>
          <t/>
        </is>
      </c>
      <c r="I55" t="inlineStr">
        <is>
          <t>86.29</t>
        </is>
      </c>
      <c r="J55" t="inlineStr">
        <is>
          <t>0.00%</t>
        </is>
      </c>
      <c r="K55" t="inlineStr">
        <is>
          <t>308.43%</t>
        </is>
      </c>
      <c r="L55" t="inlineStr">
        <is>
          <t>42.16%</t>
        </is>
      </c>
      <c r="M55" t="inlineStr">
        <is>
          <t>62.44%</t>
        </is>
      </c>
      <c r="N55" t="inlineStr">
        <is>
          <t>-0.35%</t>
        </is>
      </c>
      <c r="O55" t="inlineStr">
        <is>
          <t>266.0亿</t>
        </is>
      </c>
      <c r="P55" t="inlineStr">
        <is>
          <t>偏强</t>
        </is>
      </c>
      <c r="Q55" t="inlineStr">
        <is>
          <t>高 / 波动75% / 回撤-35%</t>
        </is>
      </c>
      <c r="R55" t="inlineStr">
        <is>
          <t>机床附件制造、轴承制造、金属切削机床制造、其他金属加工机械制造、通用设备修理、专用设备修理、货物进出口(专营专控商品除外)、技术进出口、电子工业专用设备制造、电机制造、电机及其控制系统研发、非居住房地产租赁、汽车零部件及配件制造、汽车零部件研发、汽车零配件零售、气体压缩机械制造、气体压缩机械销售、技术服务、技术开发、技术咨询、技术交流、技术转让、技术推广。</t>
        </is>
      </c>
      <c r="S55" t="inlineStr">
        <is>
          <t>机械设备-通用设备-机床设备</t>
        </is>
      </c>
      <c r="T55" t="str">
        <f>HYPERLINK("kline_charts/300503_昊志机电.html","打开K线图")</f>
        <v>打开K线图</v>
      </c>
      <c r="U55" t="inlineStr">
        <is>
          <t>已通过东方财富市场搜索</t>
        </is>
      </c>
      <c r="V55" t="inlineStr">
        <is>
          <t>观察</t>
        </is>
      </c>
    </row>
    <row r="56">
      <c r="A56" t="inlineStr">
        <is>
          <t>2026-07-09 12:26</t>
        </is>
      </c>
      <c r="B56" t="inlineStr">
        <is>
          <t>信立泰</t>
        </is>
      </c>
      <c r="C56" t="inlineStr">
        <is>
          <t>股票</t>
        </is>
      </c>
      <c r="D56" t="inlineStr">
        <is>
          <t>002294</t>
        </is>
      </c>
      <c r="E56" t="inlineStr">
        <is>
          <t>信立泰</t>
        </is>
      </c>
      <c r="F56" t="inlineStr">
        <is>
          <t>0.002294</t>
        </is>
      </c>
      <c r="G56" t="inlineStr">
        <is>
          <t>医药；创新药；心血管药物</t>
        </is>
      </c>
      <c r="H56" t="inlineStr">
        <is>
          <t/>
        </is>
      </c>
      <c r="I56" t="inlineStr">
        <is>
          <t>34.20</t>
        </is>
      </c>
      <c r="J56" t="inlineStr">
        <is>
          <t>0.00%</t>
        </is>
      </c>
      <c r="K56" t="inlineStr">
        <is>
          <t>-23.47%</t>
        </is>
      </c>
      <c r="L56" t="inlineStr">
        <is>
          <t>-34.93%</t>
        </is>
      </c>
      <c r="M56" t="inlineStr">
        <is>
          <t>-45.12%</t>
        </is>
      </c>
      <c r="N56" t="inlineStr">
        <is>
          <t>8.67%</t>
        </is>
      </c>
      <c r="O56" t="inlineStr">
        <is>
          <t>381.3亿</t>
        </is>
      </c>
      <c r="P56" t="inlineStr">
        <is>
          <t>谨慎</t>
        </is>
      </c>
      <c r="Q56" t="inlineStr">
        <is>
          <t>高 / 波动54% / 回撤-55%</t>
        </is>
      </c>
      <c r="R56"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c r="S56" t="inlineStr">
        <is>
          <t>医药生物-化学制药-化学制剂</t>
        </is>
      </c>
      <c r="T56" t="str">
        <f>HYPERLINK("kline_charts/002294_信立泰.html","打开K线图")</f>
        <v>打开K线图</v>
      </c>
      <c r="U56" t="inlineStr">
        <is>
          <t>已通过东方财富市场搜索</t>
        </is>
      </c>
      <c r="V56" t="inlineStr">
        <is>
          <t>观察</t>
        </is>
      </c>
    </row>
    <row r="57">
      <c r="A57" t="inlineStr">
        <is>
          <t>2026-07-09 12:26</t>
        </is>
      </c>
      <c r="B57" t="inlineStr">
        <is>
          <t>图片提炼：新莱应材</t>
        </is>
      </c>
      <c r="C57" t="inlineStr">
        <is>
          <t>股票</t>
        </is>
      </c>
      <c r="D57" t="inlineStr">
        <is>
          <t>300260</t>
        </is>
      </c>
      <c r="E57" t="inlineStr">
        <is>
          <t>新莱应材</t>
        </is>
      </c>
      <c r="F57" t="inlineStr">
        <is>
          <t>0.300260</t>
        </is>
      </c>
      <c r="G57" t="inlineStr">
        <is>
          <t>半导体设备；洁净材料；高纯工艺系统</t>
        </is>
      </c>
      <c r="H57" t="inlineStr">
        <is>
          <t/>
        </is>
      </c>
      <c r="I57" t="inlineStr">
        <is>
          <t>89.38</t>
        </is>
      </c>
      <c r="J57" t="inlineStr">
        <is>
          <t>0.00%</t>
        </is>
      </c>
      <c r="K57" t="inlineStr">
        <is>
          <t>182.31%</t>
        </is>
      </c>
      <c r="L57" t="inlineStr">
        <is>
          <t>49.64%</t>
        </is>
      </c>
      <c r="M57" t="inlineStr">
        <is>
          <t>83.34%</t>
        </is>
      </c>
      <c r="N57" t="inlineStr">
        <is>
          <t>20.95%</t>
        </is>
      </c>
      <c r="O57" t="inlineStr">
        <is>
          <t>364.5亿</t>
        </is>
      </c>
      <c r="P57" t="inlineStr">
        <is>
          <t>偏强</t>
        </is>
      </c>
      <c r="Q57" t="inlineStr">
        <is>
          <t>高 / 波动71% / 回撤-39%</t>
        </is>
      </c>
      <c r="R57" t="inlineStr">
        <is>
          <t/>
        </is>
      </c>
      <c r="S57" t="inlineStr">
        <is>
          <t/>
        </is>
      </c>
      <c r="T57" t="str">
        <f>HYPERLINK("kline_charts/300260_新莱应材.html","打开K线图")</f>
        <v>打开K线图</v>
      </c>
      <c r="U57" t="inlineStr">
        <is>
          <t>已通过东方财富市场搜索</t>
        </is>
      </c>
      <c r="V57" t="inlineStr">
        <is>
          <t>观察</t>
        </is>
      </c>
    </row>
    <row r="58">
      <c r="A58" t="inlineStr">
        <is>
          <t>2026-07-09 12:26</t>
        </is>
      </c>
      <c r="B58" t="inlineStr">
        <is>
          <t>图片提炼：鸿富瀚</t>
        </is>
      </c>
      <c r="C58" t="inlineStr">
        <is>
          <t>股票</t>
        </is>
      </c>
      <c r="D58" t="inlineStr">
        <is>
          <t>301086</t>
        </is>
      </c>
      <c r="E58" t="inlineStr">
        <is>
          <t>鸿富瀚</t>
        </is>
      </c>
      <c r="F58" t="inlineStr">
        <is>
          <t>0.301086</t>
        </is>
      </c>
      <c r="G58" t="inlineStr">
        <is>
          <t>消费电子；AI硬件；功能性材料</t>
        </is>
      </c>
      <c r="H58" t="inlineStr">
        <is>
          <t/>
        </is>
      </c>
      <c r="I58" t="inlineStr">
        <is>
          <t>170.99</t>
        </is>
      </c>
      <c r="J58" t="inlineStr">
        <is>
          <t>0.00%</t>
        </is>
      </c>
      <c r="K58" t="inlineStr">
        <is>
          <t>431.72%</t>
        </is>
      </c>
      <c r="L58" t="inlineStr">
        <is>
          <t>101.10%</t>
        </is>
      </c>
      <c r="M58" t="inlineStr">
        <is>
          <t>67.04%</t>
        </is>
      </c>
      <c r="N58" t="inlineStr">
        <is>
          <t>17.54%</t>
        </is>
      </c>
      <c r="O58" t="inlineStr">
        <is>
          <t>215.2亿</t>
        </is>
      </c>
      <c r="P58" t="inlineStr">
        <is>
          <t>偏强</t>
        </is>
      </c>
      <c r="Q58" t="inlineStr">
        <is>
          <t>高 / 波动66% / 回撤-25%</t>
        </is>
      </c>
      <c r="R58" t="inlineStr">
        <is>
          <t>一般经营项目是:导热材料、散热材料、电磁屏蔽材料、石墨散热膜、石墨烯功能材料、电子吸波材料、碳材料、电子复合材料、超薄热管、石墨碳素、超薄VC(均温板)、PET、Pl膜材类的研发和销售;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t>
        </is>
      </c>
      <c r="S58" t="inlineStr">
        <is>
          <t>电子设备-消费电子设备-消费电子设备</t>
        </is>
      </c>
      <c r="T58" t="str">
        <f>HYPERLINK("kline_charts/301086_鸿富瀚.html","打开K线图")</f>
        <v>打开K线图</v>
      </c>
      <c r="U58" t="inlineStr">
        <is>
          <t>已通过东方财富市场搜索</t>
        </is>
      </c>
      <c r="V58" t="inlineStr">
        <is>
          <t>观察</t>
        </is>
      </c>
    </row>
    <row r="59">
      <c r="A59" t="inlineStr">
        <is>
          <t>2026-07-09 12:26</t>
        </is>
      </c>
      <c r="B59" t="inlineStr">
        <is>
          <t>图片提炼：伟测科技</t>
        </is>
      </c>
      <c r="C59" t="inlineStr">
        <is>
          <t>股票</t>
        </is>
      </c>
      <c r="D59" t="inlineStr">
        <is>
          <t>688372</t>
        </is>
      </c>
      <c r="E59" t="inlineStr">
        <is>
          <t>伟测科技</t>
        </is>
      </c>
      <c r="F59" t="inlineStr">
        <is>
          <t>1.688372</t>
        </is>
      </c>
      <c r="G59" t="inlineStr">
        <is>
          <t>半导体测试；先进封测</t>
        </is>
      </c>
      <c r="H59" t="inlineStr">
        <is>
          <t/>
        </is>
      </c>
      <c r="I59" t="inlineStr">
        <is>
          <t>183.44</t>
        </is>
      </c>
      <c r="J59" t="inlineStr">
        <is>
          <t>0.00%</t>
        </is>
      </c>
      <c r="K59" t="inlineStr">
        <is>
          <t>227.05%</t>
        </is>
      </c>
      <c r="L59" t="inlineStr">
        <is>
          <t>62.55%</t>
        </is>
      </c>
      <c r="M59" t="inlineStr">
        <is>
          <t>20.64%</t>
        </is>
      </c>
      <c r="N59" t="inlineStr">
        <is>
          <t>26.64%</t>
        </is>
      </c>
      <c r="O59" t="inlineStr">
        <is>
          <t>308.3亿</t>
        </is>
      </c>
      <c r="P59" t="inlineStr">
        <is>
          <t>偏强</t>
        </is>
      </c>
      <c r="Q59" t="inlineStr">
        <is>
          <t>高 / 波动62% / 回撤-23%</t>
        </is>
      </c>
      <c r="R5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c r="S59" t="inlineStr">
        <is>
          <t>电子设备-半导体-半导体材料</t>
        </is>
      </c>
      <c r="T59" t="str">
        <f>HYPERLINK("kline_charts/688372_伟测科技.html","打开K线图")</f>
        <v>打开K线图</v>
      </c>
      <c r="U59" t="inlineStr">
        <is>
          <t>已通过东方财富市场搜索</t>
        </is>
      </c>
      <c r="V59" t="inlineStr">
        <is>
          <t>观察</t>
        </is>
      </c>
    </row>
    <row r="60">
      <c r="A60" t="inlineStr">
        <is>
          <t>2026-07-09 12:26</t>
        </is>
      </c>
      <c r="B60" t="inlineStr">
        <is>
          <t>图片提炼：长川科技</t>
        </is>
      </c>
      <c r="C60" t="inlineStr">
        <is>
          <t>股票</t>
        </is>
      </c>
      <c r="D60" t="inlineStr">
        <is>
          <t>300604</t>
        </is>
      </c>
      <c r="E60" t="inlineStr">
        <is>
          <t>长川科技</t>
        </is>
      </c>
      <c r="F60" t="inlineStr">
        <is>
          <t>0.300604</t>
        </is>
      </c>
      <c r="G60" t="inlineStr">
        <is>
          <t>半导体设备；测试设备</t>
        </is>
      </c>
      <c r="H60" t="inlineStr">
        <is>
          <t/>
        </is>
      </c>
      <c r="I60" t="inlineStr">
        <is>
          <t>317.50</t>
        </is>
      </c>
      <c r="J60" t="inlineStr">
        <is>
          <t>0.00%</t>
        </is>
      </c>
      <c r="K60" t="inlineStr">
        <is>
          <t>627.21%</t>
        </is>
      </c>
      <c r="L60" t="inlineStr">
        <is>
          <t>156.98%</t>
        </is>
      </c>
      <c r="M60" t="inlineStr">
        <is>
          <t>136.76%</t>
        </is>
      </c>
      <c r="N60" t="inlineStr">
        <is>
          <t>49.25%</t>
        </is>
      </c>
      <c r="O60" t="inlineStr">
        <is>
          <t>2014.3亿</t>
        </is>
      </c>
      <c r="P60" t="inlineStr">
        <is>
          <t>偏强</t>
        </is>
      </c>
      <c r="Q60" t="inlineStr">
        <is>
          <t>高 / 波动69% / 回撤-29%</t>
        </is>
      </c>
      <c r="R6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S60" t="inlineStr">
        <is>
          <t>电子设备-半导体-集成电路</t>
        </is>
      </c>
      <c r="T60" t="str">
        <f>HYPERLINK("kline_charts/300604_长川科技.html","打开K线图")</f>
        <v>打开K线图</v>
      </c>
      <c r="U60" t="inlineStr">
        <is>
          <t>已通过东方财富市场搜索</t>
        </is>
      </c>
      <c r="V60" t="inlineStr">
        <is>
          <t>观察</t>
        </is>
      </c>
    </row>
    <row r="61">
      <c r="A61" t="inlineStr">
        <is>
          <t>2026-07-09 12:26</t>
        </is>
      </c>
      <c r="B61" t="inlineStr">
        <is>
          <t>图片提炼：京仪装备</t>
        </is>
      </c>
      <c r="C61" t="inlineStr">
        <is>
          <t>股票</t>
        </is>
      </c>
      <c r="D61" t="inlineStr">
        <is>
          <t>688652</t>
        </is>
      </c>
      <c r="E61" t="inlineStr">
        <is>
          <t>京仪装备</t>
        </is>
      </c>
      <c r="F61" t="inlineStr">
        <is>
          <t>1.688652</t>
        </is>
      </c>
      <c r="G61" t="inlineStr">
        <is>
          <t>半导体设备；真空装备</t>
        </is>
      </c>
      <c r="H61" t="inlineStr">
        <is>
          <t/>
        </is>
      </c>
      <c r="I61" t="inlineStr">
        <is>
          <t>216.02</t>
        </is>
      </c>
      <c r="J61" t="inlineStr">
        <is>
          <t>0.00%</t>
        </is>
      </c>
      <c r="K61" t="inlineStr">
        <is>
          <t>288.49%</t>
        </is>
      </c>
      <c r="L61" t="inlineStr">
        <is>
          <t>90.76%</t>
        </is>
      </c>
      <c r="M61" t="inlineStr">
        <is>
          <t>110.14%</t>
        </is>
      </c>
      <c r="N61" t="inlineStr">
        <is>
          <t>65.08%</t>
        </is>
      </c>
      <c r="O61" t="inlineStr">
        <is>
          <t>362.9亿</t>
        </is>
      </c>
      <c r="P61" t="inlineStr">
        <is>
          <t>偏强</t>
        </is>
      </c>
      <c r="Q61" t="inlineStr">
        <is>
          <t>高 / 波动66% / 回撤-30%</t>
        </is>
      </c>
      <c r="R6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c r="S61" t="inlineStr">
        <is>
          <t>电子设备-半导体-半导体分立器件</t>
        </is>
      </c>
      <c r="T61" t="str">
        <f>HYPERLINK("kline_charts/688652_京仪装备.html","打开K线图")</f>
        <v>打开K线图</v>
      </c>
      <c r="U61" t="inlineStr">
        <is>
          <t>已通过东方财富市场搜索</t>
        </is>
      </c>
      <c r="V61" t="inlineStr">
        <is>
          <t>观察</t>
        </is>
      </c>
    </row>
    <row r="62">
      <c r="A62" t="inlineStr">
        <is>
          <t>2026-07-09 12:26</t>
        </is>
      </c>
      <c r="B62" t="inlineStr">
        <is>
          <t>图片提炼：富创精密</t>
        </is>
      </c>
      <c r="C62" t="inlineStr">
        <is>
          <t>股票</t>
        </is>
      </c>
      <c r="D62" t="inlineStr">
        <is>
          <t>688409</t>
        </is>
      </c>
      <c r="E62" t="inlineStr">
        <is>
          <t>富创精密</t>
        </is>
      </c>
      <c r="F62" t="inlineStr">
        <is>
          <t>1.688409</t>
        </is>
      </c>
      <c r="G62" t="inlineStr">
        <is>
          <t>半导体设备零部件；精密制造</t>
        </is>
      </c>
      <c r="H62" t="inlineStr">
        <is>
          <t/>
        </is>
      </c>
      <c r="I62" t="inlineStr">
        <is>
          <t>263.04</t>
        </is>
      </c>
      <c r="J62" t="inlineStr">
        <is>
          <t>0.00%</t>
        </is>
      </c>
      <c r="K62" t="inlineStr">
        <is>
          <t>407.30%</t>
        </is>
      </c>
      <c r="L62" t="inlineStr">
        <is>
          <t>225.14%</t>
        </is>
      </c>
      <c r="M62" t="inlineStr">
        <is>
          <t>171.51%</t>
        </is>
      </c>
      <c r="N62" t="inlineStr">
        <is>
          <t>59.82%</t>
        </is>
      </c>
      <c r="O62" t="inlineStr">
        <is>
          <t>805.5亿</t>
        </is>
      </c>
      <c r="P62" t="inlineStr">
        <is>
          <t>偏强</t>
        </is>
      </c>
      <c r="Q62" t="inlineStr">
        <is>
          <t>高 / 波动71% / 回撤-30%</t>
        </is>
      </c>
      <c r="R6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打印服务,技术服务、技术开发、技术咨询、技术交流、技术转让、技术推广(除依法须经批准的项目外,凭营业执照依法自主开展经营活动)</t>
        </is>
      </c>
      <c r="S62" t="inlineStr">
        <is>
          <t>电子设备-半导体-集成电路</t>
        </is>
      </c>
      <c r="T62" t="str">
        <f>HYPERLINK("kline_charts/688409_富创精密.html","打开K线图")</f>
        <v>打开K线图</v>
      </c>
      <c r="U62" t="inlineStr">
        <is>
          <t>已通过东方财富市场搜索</t>
        </is>
      </c>
      <c r="V62" t="inlineStr">
        <is>
          <t>观察</t>
        </is>
      </c>
    </row>
    <row r="63">
      <c r="A63" t="inlineStr">
        <is>
          <t>2026-07-09 12:26</t>
        </is>
      </c>
      <c r="B63" t="inlineStr">
        <is>
          <t>光刻胶板块</t>
        </is>
      </c>
      <c r="C63" t="inlineStr">
        <is>
          <t>概念/板块</t>
        </is>
      </c>
      <c r="D63" t="inlineStr">
        <is>
          <t>CUSTOM_光刻胶板块</t>
        </is>
      </c>
      <c r="E63" t="inlineStr">
        <is>
          <t>光刻胶板块</t>
        </is>
      </c>
      <c r="F63" t="inlineStr">
        <is>
          <t/>
        </is>
      </c>
      <c r="G63" t="inlineStr">
        <is>
          <t>光刻胶板块</t>
        </is>
      </c>
      <c r="H63" t="inlineStr">
        <is>
          <t/>
        </is>
      </c>
      <c r="I63" t="inlineStr">
        <is>
          <t/>
        </is>
      </c>
      <c r="J63" t="inlineStr">
        <is>
          <t/>
        </is>
      </c>
      <c r="K63" t="inlineStr">
        <is>
          <t/>
        </is>
      </c>
      <c r="L63" t="inlineStr">
        <is>
          <t/>
        </is>
      </c>
      <c r="M63" t="inlineStr">
        <is>
          <t/>
        </is>
      </c>
      <c r="N63" t="inlineStr">
        <is>
          <t/>
        </is>
      </c>
      <c r="O63" t="inlineStr">
        <is>
          <t/>
        </is>
      </c>
      <c r="P63" t="inlineStr">
        <is>
          <t>待评估</t>
        </is>
      </c>
      <c r="Q63" t="inlineStr">
        <is>
          <t>待评估</t>
        </is>
      </c>
      <c r="R63" t="inlineStr">
        <is>
          <t>自定义分类板块，未绑定行情涨跌幅；用于归集相关股票。</t>
        </is>
      </c>
      <c r="S63" t="inlineStr">
        <is>
          <t/>
        </is>
      </c>
      <c r="T63" t="inlineStr">
        <is>
          <t/>
        </is>
      </c>
      <c r="U63" t="inlineStr">
        <is>
          <t>自定义板块（未绑定行情）</t>
        </is>
      </c>
      <c r="V63" t="inlineStr">
        <is>
          <t>观察</t>
        </is>
      </c>
    </row>
    <row r="64">
      <c r="A64" t="inlineStr">
        <is>
          <t>2026-07-09 12:26</t>
        </is>
      </c>
      <c r="B64" t="inlineStr">
        <is>
          <t>彤程新材</t>
        </is>
      </c>
      <c r="C64" t="inlineStr">
        <is>
          <t>股票</t>
        </is>
      </c>
      <c r="D64" t="inlineStr">
        <is>
          <t>603650</t>
        </is>
      </c>
      <c r="E64" t="inlineStr">
        <is>
          <t>彤程新材</t>
        </is>
      </c>
      <c r="F64" t="inlineStr">
        <is>
          <t>1.603650</t>
        </is>
      </c>
      <c r="G64" t="inlineStr">
        <is>
          <t>光刻胶；电子化学品；半导体材料</t>
        </is>
      </c>
      <c r="H64" t="inlineStr">
        <is>
          <t/>
        </is>
      </c>
      <c r="I64" t="inlineStr">
        <is>
          <t>84.94</t>
        </is>
      </c>
      <c r="J64" t="inlineStr">
        <is>
          <t>0.00%</t>
        </is>
      </c>
      <c r="K64" t="inlineStr">
        <is>
          <t>171.36%</t>
        </is>
      </c>
      <c r="L64" t="inlineStr">
        <is>
          <t>51.05%</t>
        </is>
      </c>
      <c r="M64" t="inlineStr">
        <is>
          <t>66.02%</t>
        </is>
      </c>
      <c r="N64" t="inlineStr">
        <is>
          <t>51.52%</t>
        </is>
      </c>
      <c r="O64" t="inlineStr">
        <is>
          <t>523.3亿</t>
        </is>
      </c>
      <c r="P64" t="inlineStr">
        <is>
          <t>偏强</t>
        </is>
      </c>
      <c r="Q64" t="inlineStr">
        <is>
          <t>高 / 波动54% / 回撤-26%</t>
        </is>
      </c>
      <c r="R64" t="inlineStr">
        <is>
          <t>电子专用材料销售;电子专用材料制造;电子专用材料研发;电子专用材料领域内的技术服务、技术开发、技术咨询、技术交流、技术转让、技术推广;生物基材料销售;生物基材料制造;生物基材料技术研发(人体干细胞、基因诊断与治疗技术开发和应用除外);化工原料及产品(危险化学品、民用爆炸物除外)、橡塑制品、五金交电产品、机械设备、通讯器材、仪器仪表、电子元件、计算机软硬件及配件(音像制品除外)、不锈钢材料、阀门的批发、进出口、佣金代理(拍卖除外),并提…</t>
        </is>
      </c>
      <c r="S64" t="inlineStr">
        <is>
          <t>基础化工-化学原料-其他化学原料</t>
        </is>
      </c>
      <c r="T64" t="str">
        <f>HYPERLINK("kline_charts/603650_彤程新材.html","打开K线图")</f>
        <v>打开K线图</v>
      </c>
      <c r="U64" t="inlineStr">
        <is>
          <t>已通过东方财富市场搜索</t>
        </is>
      </c>
      <c r="V64" t="inlineStr">
        <is>
          <t>观察</t>
        </is>
      </c>
    </row>
    <row r="65">
      <c r="A65" t="inlineStr">
        <is>
          <t>2026-07-09 12:26</t>
        </is>
      </c>
      <c r="B65" t="inlineStr">
        <is>
          <t>雅克科技</t>
        </is>
      </c>
      <c r="C65" t="inlineStr">
        <is>
          <t>股票</t>
        </is>
      </c>
      <c r="D65" t="inlineStr">
        <is>
          <t>002409</t>
        </is>
      </c>
      <c r="E65" t="inlineStr">
        <is>
          <t>雅克科技</t>
        </is>
      </c>
      <c r="F65" t="inlineStr">
        <is>
          <t>0.002409</t>
        </is>
      </c>
      <c r="G65" t="inlineStr">
        <is>
          <t>光刻胶；电子化学品；半导体材料</t>
        </is>
      </c>
      <c r="H65" t="inlineStr">
        <is>
          <t/>
        </is>
      </c>
      <c r="I65" t="inlineStr">
        <is>
          <t>199.00</t>
        </is>
      </c>
      <c r="J65" t="inlineStr">
        <is>
          <t>0.00%</t>
        </is>
      </c>
      <c r="K65" t="inlineStr">
        <is>
          <t>275.76%</t>
        </is>
      </c>
      <c r="L65" t="inlineStr">
        <is>
          <t>131.64%</t>
        </is>
      </c>
      <c r="M65" t="inlineStr">
        <is>
          <t>136.51%</t>
        </is>
      </c>
      <c r="N65" t="inlineStr">
        <is>
          <t>78.62%</t>
        </is>
      </c>
      <c r="O65" t="inlineStr">
        <is>
          <t>947.1亿</t>
        </is>
      </c>
      <c r="P65" t="inlineStr">
        <is>
          <t>偏强</t>
        </is>
      </c>
      <c r="Q65" t="inlineStr">
        <is>
          <t>高 / 波动57% / 回撤-22%</t>
        </is>
      </c>
      <c r="R65"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t>
        </is>
      </c>
      <c r="S65" t="inlineStr">
        <is>
          <t>电子设备-半导体-半导体材料</t>
        </is>
      </c>
      <c r="T65" t="str">
        <f>HYPERLINK("kline_charts/002409_雅克科技.html","打开K线图")</f>
        <v>打开K线图</v>
      </c>
      <c r="U65" t="inlineStr">
        <is>
          <t>已通过东方财富市场搜索</t>
        </is>
      </c>
      <c r="V65" t="inlineStr">
        <is>
          <t>观察</t>
        </is>
      </c>
    </row>
    <row r="66">
      <c r="A66" t="inlineStr">
        <is>
          <t>2026-07-09 12:26</t>
        </is>
      </c>
      <c r="B66" t="inlineStr">
        <is>
          <t>宏和</t>
        </is>
      </c>
      <c r="C66" t="inlineStr">
        <is>
          <t>股票</t>
        </is>
      </c>
      <c r="D66" t="inlineStr">
        <is>
          <t>603256</t>
        </is>
      </c>
      <c r="E66" t="inlineStr">
        <is>
          <t>宏和科技</t>
        </is>
      </c>
      <c r="F66" t="inlineStr">
        <is>
          <t>1.603256</t>
        </is>
      </c>
      <c r="G66" t="inlineStr">
        <is>
          <t>电子布；玻纤布；PCB材料</t>
        </is>
      </c>
      <c r="H66" t="inlineStr">
        <is>
          <t/>
        </is>
      </c>
      <c r="I66" t="inlineStr">
        <is>
          <t>204.35</t>
        </is>
      </c>
      <c r="J66" t="inlineStr">
        <is>
          <t>0.00%</t>
        </is>
      </c>
      <c r="K66" t="inlineStr">
        <is>
          <t>830.47%</t>
        </is>
      </c>
      <c r="L66" t="inlineStr">
        <is>
          <t>445.92%</t>
        </is>
      </c>
      <c r="M66" t="inlineStr">
        <is>
          <t>168.42%</t>
        </is>
      </c>
      <c r="N66" t="inlineStr">
        <is>
          <t>-1.44%</t>
        </is>
      </c>
      <c r="O66" t="inlineStr">
        <is>
          <t>1848.5亿</t>
        </is>
      </c>
      <c r="P66" t="inlineStr">
        <is>
          <t>偏强</t>
        </is>
      </c>
      <c r="Q66" t="inlineStr">
        <is>
          <t>高 / 波动83% / 回撤-37%</t>
        </is>
      </c>
      <c r="R66" t="inlineStr">
        <is>
          <t/>
        </is>
      </c>
      <c r="S66" t="inlineStr">
        <is>
          <t/>
        </is>
      </c>
      <c r="T66" t="str">
        <f>HYPERLINK("kline_charts/603256_宏和科技.html","打开K线图")</f>
        <v>打开K线图</v>
      </c>
      <c r="U66" t="inlineStr">
        <is>
          <t>已通过东方财富市场搜索</t>
        </is>
      </c>
      <c r="V66" t="inlineStr">
        <is>
          <t>观察</t>
        </is>
      </c>
    </row>
    <row r="67">
      <c r="A67" t="inlineStr">
        <is>
          <t>2026-07-09 12:26</t>
        </is>
      </c>
      <c r="B67" t="inlineStr">
        <is>
          <t>巨石</t>
        </is>
      </c>
      <c r="C67" t="inlineStr">
        <is>
          <t>股票</t>
        </is>
      </c>
      <c r="D67" t="inlineStr">
        <is>
          <t>600176</t>
        </is>
      </c>
      <c r="E67" t="inlineStr">
        <is>
          <t>中国巨石</t>
        </is>
      </c>
      <c r="F67" t="inlineStr">
        <is>
          <t>1.600176</t>
        </is>
      </c>
      <c r="G67" t="inlineStr">
        <is>
          <t>电子布；玻璃纤维；PCB材料</t>
        </is>
      </c>
      <c r="H67" t="inlineStr">
        <is>
          <t/>
        </is>
      </c>
      <c r="I67" t="inlineStr">
        <is>
          <t>54.58</t>
        </is>
      </c>
      <c r="J67" t="inlineStr">
        <is>
          <t>0.00%</t>
        </is>
      </c>
      <c r="K67" t="inlineStr">
        <is>
          <t>356.74%</t>
        </is>
      </c>
      <c r="L67" t="inlineStr">
        <is>
          <t>214.40%</t>
        </is>
      </c>
      <c r="M67" t="inlineStr">
        <is>
          <t>96.26%</t>
        </is>
      </c>
      <c r="N67" t="inlineStr">
        <is>
          <t>39.52%</t>
        </is>
      </c>
      <c r="O67" t="inlineStr">
        <is>
          <t>2184.9亿</t>
        </is>
      </c>
      <c r="P67" t="inlineStr">
        <is>
          <t>偏强</t>
        </is>
      </c>
      <c r="Q67" t="inlineStr">
        <is>
          <t>高 / 波动57% / 回撤-26%</t>
        </is>
      </c>
      <c r="R67" t="inlineStr">
        <is>
          <t>一般项目:新材料技术推广服务;新材料技术研发;玻璃纤维及制品制造;高性能纤维及复合材料销售;建筑材料销售;化工产品销售(不含许可类化工产品);机械设备销售;非居住房地产租赁;普通机械设备安装服务;信息技术咨询服务;企业管理咨询;自有资金投资的资产管理服务。(除依法须经批准的项目外,凭营业执照依法自主开展经营活动)许可项目:危险化学品经营。(依法须经批准的项目,经相关部门批准后方可开展经营活动,具体经营项目以相关部门批准文件或许可证件为…</t>
        </is>
      </c>
      <c r="S67" t="inlineStr">
        <is>
          <t>基础化工-合成纤维及树脂-玻纤</t>
        </is>
      </c>
      <c r="T67" t="str">
        <f>HYPERLINK("kline_charts/600176_中国巨石.html","打开K线图")</f>
        <v>打开K线图</v>
      </c>
      <c r="U67" t="inlineStr">
        <is>
          <t>已通过东方财富市场搜索</t>
        </is>
      </c>
      <c r="V67" t="inlineStr">
        <is>
          <t>观察</t>
        </is>
      </c>
    </row>
    <row r="68">
      <c r="A68" t="inlineStr">
        <is>
          <t>2026-07-09 12:26</t>
        </is>
      </c>
      <c r="B68" t="inlineStr">
        <is>
          <t>中材科技</t>
        </is>
      </c>
      <c r="C68" t="inlineStr">
        <is>
          <t>股票</t>
        </is>
      </c>
      <c r="D68" t="inlineStr">
        <is>
          <t>002080</t>
        </is>
      </c>
      <c r="E68" t="inlineStr">
        <is>
          <t>中材科技</t>
        </is>
      </c>
      <c r="F68" t="inlineStr">
        <is>
          <t>0.002080</t>
        </is>
      </c>
      <c r="G68" t="inlineStr">
        <is>
          <t>电子布；玻璃纤维；复合材料</t>
        </is>
      </c>
      <c r="H68" t="inlineStr">
        <is>
          <t/>
        </is>
      </c>
      <c r="I68" t="inlineStr">
        <is>
          <t>70.77</t>
        </is>
      </c>
      <c r="J68" t="inlineStr">
        <is>
          <t>0.00%</t>
        </is>
      </c>
      <c r="K68" t="inlineStr">
        <is>
          <t>192.12%</t>
        </is>
      </c>
      <c r="L68" t="inlineStr">
        <is>
          <t>93.91%</t>
        </is>
      </c>
      <c r="M68" t="inlineStr">
        <is>
          <t>65.91%</t>
        </is>
      </c>
      <c r="N68" t="inlineStr">
        <is>
          <t>9.42%</t>
        </is>
      </c>
      <c r="O68" t="inlineStr">
        <is>
          <t>1187.6亿</t>
        </is>
      </c>
      <c r="P68" t="inlineStr">
        <is>
          <t>偏强</t>
        </is>
      </c>
      <c r="Q68" t="inlineStr">
        <is>
          <t>高 / 波动72% / 回撤-28%</t>
        </is>
      </c>
      <c r="R68" t="inlineStr">
        <is>
          <t/>
        </is>
      </c>
      <c r="S68" t="inlineStr">
        <is>
          <t/>
        </is>
      </c>
      <c r="T68" t="str">
        <f>HYPERLINK("kline_charts/002080_中材科技.html","打开K线图")</f>
        <v>打开K线图</v>
      </c>
      <c r="U68" t="inlineStr">
        <is>
          <t>已通过东方财富市场搜索</t>
        </is>
      </c>
      <c r="V68" t="inlineStr">
        <is>
          <t>观察</t>
        </is>
      </c>
    </row>
    <row r="69">
      <c r="A69" t="inlineStr">
        <is>
          <t>2026-07-09 12:26</t>
        </is>
      </c>
      <c r="B69" t="inlineStr">
        <is>
          <t>国际复材</t>
        </is>
      </c>
      <c r="C69" t="inlineStr">
        <is>
          <t>股票</t>
        </is>
      </c>
      <c r="D69" t="inlineStr">
        <is>
          <t>301526</t>
        </is>
      </c>
      <c r="E69" t="inlineStr">
        <is>
          <t>国际复材</t>
        </is>
      </c>
      <c r="F69" t="inlineStr">
        <is>
          <t>0.301526</t>
        </is>
      </c>
      <c r="G69" t="inlineStr">
        <is>
          <t>电子布；玻璃纤维；复合材料</t>
        </is>
      </c>
      <c r="H69" t="inlineStr">
        <is>
          <t/>
        </is>
      </c>
      <c r="I69" t="inlineStr">
        <is>
          <t>36.55</t>
        </is>
      </c>
      <c r="J69" t="inlineStr">
        <is>
          <t>0.00%</t>
        </is>
      </c>
      <c r="K69" t="inlineStr">
        <is>
          <t>566.97%</t>
        </is>
      </c>
      <c r="L69" t="inlineStr">
        <is>
          <t>406.93%</t>
        </is>
      </c>
      <c r="M69" t="inlineStr">
        <is>
          <t>192.40%</t>
        </is>
      </c>
      <c r="N69" t="inlineStr">
        <is>
          <t>44.24%</t>
        </is>
      </c>
      <c r="O69" t="inlineStr">
        <is>
          <t>1378.3亿</t>
        </is>
      </c>
      <c r="P69" t="inlineStr">
        <is>
          <t>偏强</t>
        </is>
      </c>
      <c r="Q69" t="inlineStr">
        <is>
          <t>高 / 波动90% / 回撤-35%</t>
        </is>
      </c>
      <c r="R69" t="inlineStr">
        <is>
          <t>一般项目:租赁服务(不含许可类租赁服务);生产、销售玻璃纤维系列产品、玻璃纤维增强塑料产品、玻璃纤维用浸润剂及助剂、空气分离制品(压缩或液化的氧、液化的氩、压缩的氮〈限长寿区分公司经营〉)(按重庆市危险化学品公司章程生产企业设立批准书核定事项从事经营);玻璃纤维工业成套技术与成套装备的研发与制造;从事非配额许可证管理,非专营商品的收购出口业务(国家有专项规定的除外);贵金属及合金材料、合金制品的研发、加工、销售、租赁及回收业务;道路货…</t>
        </is>
      </c>
      <c r="S69" t="inlineStr">
        <is>
          <t>有色金属-金属非金属新材料-非金属新材料</t>
        </is>
      </c>
      <c r="T69" t="str">
        <f>HYPERLINK("kline_charts/301526_国际复材.html","打开K线图")</f>
        <v>打开K线图</v>
      </c>
      <c r="U69" t="inlineStr">
        <is>
          <t>已通过东方财富市场搜索</t>
        </is>
      </c>
      <c r="V69" t="inlineStr">
        <is>
          <t>观察</t>
        </is>
      </c>
    </row>
    <row r="70">
      <c r="A70" t="inlineStr">
        <is>
          <t>2026-07-09 12:26</t>
        </is>
      </c>
      <c r="B70" t="inlineStr">
        <is>
          <t>生肖概念</t>
        </is>
      </c>
      <c r="C70" t="inlineStr">
        <is>
          <t>概念/板块</t>
        </is>
      </c>
      <c r="D70" t="inlineStr">
        <is>
          <t>CUSTOM_生肖概念</t>
        </is>
      </c>
      <c r="E70" t="inlineStr">
        <is>
          <t>生肖概念</t>
        </is>
      </c>
      <c r="F70" t="inlineStr">
        <is>
          <t/>
        </is>
      </c>
      <c r="G70" t="inlineStr">
        <is>
          <t>生肖概念</t>
        </is>
      </c>
      <c r="H70" t="inlineStr">
        <is>
          <t/>
        </is>
      </c>
      <c r="I70" t="inlineStr">
        <is>
          <t/>
        </is>
      </c>
      <c r="J70" t="inlineStr">
        <is>
          <t/>
        </is>
      </c>
      <c r="K70" t="inlineStr">
        <is>
          <t/>
        </is>
      </c>
      <c r="L70" t="inlineStr">
        <is>
          <t/>
        </is>
      </c>
      <c r="M70" t="inlineStr">
        <is>
          <t/>
        </is>
      </c>
      <c r="N70" t="inlineStr">
        <is>
          <t/>
        </is>
      </c>
      <c r="O70" t="inlineStr">
        <is>
          <t/>
        </is>
      </c>
      <c r="P70" t="inlineStr">
        <is>
          <t>待评估</t>
        </is>
      </c>
      <c r="Q70" t="inlineStr">
        <is>
          <t>待评估</t>
        </is>
      </c>
      <c r="R70" t="inlineStr">
        <is>
          <t>自定义分类板块，未绑定行情涨跌幅；用于归集相关股票。</t>
        </is>
      </c>
      <c r="S70" t="inlineStr">
        <is>
          <t/>
        </is>
      </c>
      <c r="T70" t="inlineStr">
        <is>
          <t/>
        </is>
      </c>
      <c r="U70" t="inlineStr">
        <is>
          <t>自定义板块（未绑定行情）</t>
        </is>
      </c>
      <c r="V70" t="inlineStr">
        <is>
          <t>观察</t>
        </is>
      </c>
    </row>
    <row r="71">
      <c r="A71" t="inlineStr">
        <is>
          <t>2026-07-09 12:26</t>
        </is>
      </c>
      <c r="B71" t="inlineStr">
        <is>
          <t>图片提炼：百洋医药</t>
        </is>
      </c>
      <c r="C71" t="inlineStr">
        <is>
          <t>股票</t>
        </is>
      </c>
      <c r="D71" t="inlineStr">
        <is>
          <t>301015</t>
        </is>
      </c>
      <c r="E71" t="inlineStr">
        <is>
          <t>百洋医药</t>
        </is>
      </c>
      <c r="F71" t="inlineStr">
        <is>
          <t>0.301015</t>
        </is>
      </c>
      <c r="G71" t="inlineStr">
        <is>
          <t>生肖概念</t>
        </is>
      </c>
      <c r="H71" t="inlineStr">
        <is>
          <t/>
        </is>
      </c>
      <c r="I71" t="inlineStr">
        <is>
          <t>22.00</t>
        </is>
      </c>
      <c r="J71" t="inlineStr">
        <is>
          <t>0.00%</t>
        </is>
      </c>
      <c r="K71" t="inlineStr">
        <is>
          <t>4.52%</t>
        </is>
      </c>
      <c r="L71" t="inlineStr">
        <is>
          <t>-8.86%</t>
        </is>
      </c>
      <c r="M71" t="inlineStr">
        <is>
          <t>-4.96%</t>
        </is>
      </c>
      <c r="N71" t="inlineStr">
        <is>
          <t>8.91%</t>
        </is>
      </c>
      <c r="O71" t="inlineStr">
        <is>
          <t>115.6亿</t>
        </is>
      </c>
      <c r="P71" t="inlineStr">
        <is>
          <t>中性</t>
        </is>
      </c>
      <c r="Q71" t="inlineStr">
        <is>
          <t>高 / 波动42% / 回撤-38%</t>
        </is>
      </c>
      <c r="R71" t="inlineStr">
        <is>
          <t>许可项目:药品零售;药品批发;第三类医疗器械经营;第三类医疗器械租赁;城市配送运输服务(不含危险货物);第二类增值电信业务;互联网信息服务;道路货物运输(不含危险货物)。(依法须经批准的项目,经相关部门批准后方可开展经营活动,具体经营项目以相关部门批准文件或许可证件为准)。一般项目:货物进出口;食品销售(仅销售预包装食品);食品互联网销售(仅销售预包装食品);婴幼儿配方乳粉及其他婴幼儿配方食品销售;保健食品(预包装)销售;特殊医学用途…</t>
        </is>
      </c>
      <c r="S71" t="inlineStr">
        <is>
          <t>医药生物-医药商业-医药商业</t>
        </is>
      </c>
      <c r="T71" t="str">
        <f>HYPERLINK("kline_charts/301015_百洋医药.html","打开K线图")</f>
        <v>打开K线图</v>
      </c>
      <c r="U71" t="inlineStr">
        <is>
          <t>已通过东方财富市场搜索</t>
        </is>
      </c>
      <c r="V71" t="inlineStr">
        <is>
          <t>观察</t>
        </is>
      </c>
    </row>
    <row r="72">
      <c r="A72" t="inlineStr">
        <is>
          <t>2026-07-09 12:26</t>
        </is>
      </c>
      <c r="B72" t="inlineStr">
        <is>
          <t>图片提炼：天洋新材</t>
        </is>
      </c>
      <c r="C72" t="inlineStr">
        <is>
          <t>股票</t>
        </is>
      </c>
      <c r="D72" t="inlineStr">
        <is>
          <t>603330</t>
        </is>
      </c>
      <c r="E72" t="inlineStr">
        <is>
          <t>天洋新材</t>
        </is>
      </c>
      <c r="F72" t="inlineStr">
        <is>
          <t>1.603330</t>
        </is>
      </c>
      <c r="G72" t="inlineStr">
        <is>
          <t>生肖概念</t>
        </is>
      </c>
      <c r="H72" t="inlineStr">
        <is>
          <t/>
        </is>
      </c>
      <c r="I72" t="inlineStr">
        <is>
          <t>7.70</t>
        </is>
      </c>
      <c r="J72" t="inlineStr">
        <is>
          <t>0.00%</t>
        </is>
      </c>
      <c r="K72" t="inlineStr">
        <is>
          <t>9.84%</t>
        </is>
      </c>
      <c r="L72" t="inlineStr">
        <is>
          <t>3.91%</t>
        </is>
      </c>
      <c r="M72" t="inlineStr">
        <is>
          <t>13.57%</t>
        </is>
      </c>
      <c r="N72" t="inlineStr">
        <is>
          <t>-9.73%</t>
        </is>
      </c>
      <c r="O72" t="inlineStr">
        <is>
          <t>33.3亿</t>
        </is>
      </c>
      <c r="P72" t="inlineStr">
        <is>
          <t>偏强</t>
        </is>
      </c>
      <c r="Q72" t="inlineStr">
        <is>
          <t>高 / 波动45% / 回撤-26%</t>
        </is>
      </c>
      <c r="R72" t="inlineStr">
        <is>
          <t>一般项目:合成材料制造(不含危险化学品);新型膜材料制造;新型膜材料销售;化工产品销售(不含许可类化工产品);机械设备销售;机械零件、零部件销售;针纺织品销售;橡胶制品制造;橡胶制品销售;塑料制品制造;塑料制品销售;建筑装饰材料销售;货物进出口;技术进出口。(除依法须经批准的项目外,凭营业执照依法自主开展经营活动)许可项目:道路货物运输(不含危险货物)。(依法须经批准的项目,经相关部门批准后方可开展经营活动,具体经营项目以相关部门批准…</t>
        </is>
      </c>
      <c r="S72" t="inlineStr">
        <is>
          <t>基础化工-化学制品-塑料制品</t>
        </is>
      </c>
      <c r="T72" t="str">
        <f>HYPERLINK("kline_charts/603330_天洋新材.html","打开K线图")</f>
        <v>打开K线图</v>
      </c>
      <c r="U72" t="inlineStr">
        <is>
          <t>已通过东方财富市场搜索</t>
        </is>
      </c>
      <c r="V72" t="inlineStr">
        <is>
          <t>观察</t>
        </is>
      </c>
    </row>
    <row r="73">
      <c r="A73" t="inlineStr">
        <is>
          <t>2026-07-09 12:26</t>
        </is>
      </c>
      <c r="B73" t="inlineStr">
        <is>
          <t>图片提炼：七匹狼</t>
        </is>
      </c>
      <c r="C73" t="inlineStr">
        <is>
          <t>股票</t>
        </is>
      </c>
      <c r="D73" t="inlineStr">
        <is>
          <t>002029</t>
        </is>
      </c>
      <c r="E73" t="inlineStr">
        <is>
          <t>七匹狼</t>
        </is>
      </c>
      <c r="F73" t="inlineStr">
        <is>
          <t>0.002029</t>
        </is>
      </c>
      <c r="G73" t="inlineStr">
        <is>
          <t>生肖概念</t>
        </is>
      </c>
      <c r="H73" t="inlineStr">
        <is>
          <t/>
        </is>
      </c>
      <c r="I73" t="inlineStr">
        <is>
          <t>7.65</t>
        </is>
      </c>
      <c r="J73" t="inlineStr">
        <is>
          <t>0.00%</t>
        </is>
      </c>
      <c r="K73" t="inlineStr">
        <is>
          <t>10.55%</t>
        </is>
      </c>
      <c r="L73" t="inlineStr">
        <is>
          <t>-40.05%</t>
        </is>
      </c>
      <c r="M73" t="inlineStr">
        <is>
          <t>-23.58%</t>
        </is>
      </c>
      <c r="N73" t="inlineStr">
        <is>
          <t>-7.50%</t>
        </is>
      </c>
      <c r="O73" t="inlineStr">
        <is>
          <t>53.9亿</t>
        </is>
      </c>
      <c r="P73" t="inlineStr">
        <is>
          <t>偏强</t>
        </is>
      </c>
      <c r="Q73" t="inlineStr">
        <is>
          <t>高 / 波动54% / 回撤-47%</t>
        </is>
      </c>
      <c r="R73"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t>
        </is>
      </c>
      <c r="S73" t="inlineStr">
        <is>
          <t>纺织服装-服装家纺-服装</t>
        </is>
      </c>
      <c r="T73" t="str">
        <f>HYPERLINK("kline_charts/002029_七匹狼.html","打开K线图")</f>
        <v>打开K线图</v>
      </c>
      <c r="U73" t="inlineStr">
        <is>
          <t>已通过东方财富市场搜索</t>
        </is>
      </c>
      <c r="V73" t="inlineStr">
        <is>
          <t>观察</t>
        </is>
      </c>
    </row>
    <row r="74">
      <c r="A74" t="inlineStr">
        <is>
          <t>2026-07-09 12:26</t>
        </is>
      </c>
      <c r="B74" t="inlineStr">
        <is>
          <t>图片提炼：奥飞娱乐</t>
        </is>
      </c>
      <c r="C74" t="inlineStr">
        <is>
          <t>股票</t>
        </is>
      </c>
      <c r="D74" t="inlineStr">
        <is>
          <t>002292</t>
        </is>
      </c>
      <c r="E74" t="inlineStr">
        <is>
          <t>奥飞娱乐</t>
        </is>
      </c>
      <c r="F74" t="inlineStr">
        <is>
          <t>0.002292</t>
        </is>
      </c>
      <c r="G74" t="inlineStr">
        <is>
          <t>生肖概念</t>
        </is>
      </c>
      <c r="H74" t="inlineStr">
        <is>
          <t/>
        </is>
      </c>
      <c r="I74" t="inlineStr">
        <is>
          <t>7.66</t>
        </is>
      </c>
      <c r="J74" t="inlineStr">
        <is>
          <t>0.00%</t>
        </is>
      </c>
      <c r="K74" t="inlineStr">
        <is>
          <t>-19.71%</t>
        </is>
      </c>
      <c r="L74" t="inlineStr">
        <is>
          <t>-19.28%</t>
        </is>
      </c>
      <c r="M74" t="inlineStr">
        <is>
          <t>-1.29%</t>
        </is>
      </c>
      <c r="N74" t="inlineStr">
        <is>
          <t>6.83%</t>
        </is>
      </c>
      <c r="O74" t="inlineStr">
        <is>
          <t>113.3亿</t>
        </is>
      </c>
      <c r="P74" t="inlineStr">
        <is>
          <t>谨慎</t>
        </is>
      </c>
      <c r="Q74" t="inlineStr">
        <is>
          <t>高 / 波动40% / 回撤-42%</t>
        </is>
      </c>
      <c r="R74" t="inlineStr">
        <is>
          <t>广播电视节目制作经营;电视剧制作;电视剧发行;电影发行;音像制品制作;音像制品复制;电子出版物复制;互联网信息服务;网络文化经营;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t>
        </is>
      </c>
      <c r="S74" t="inlineStr">
        <is>
          <t>文化传媒-影视动漫-动漫</t>
        </is>
      </c>
      <c r="T74" t="str">
        <f>HYPERLINK("kline_charts/002292_奥飞娱乐.html","打开K线图")</f>
        <v>打开K线图</v>
      </c>
      <c r="U74" t="inlineStr">
        <is>
          <t>已通过东方财富市场搜索</t>
        </is>
      </c>
      <c r="V74" t="inlineStr">
        <is>
          <t>观察</t>
        </is>
      </c>
    </row>
    <row r="75">
      <c r="A75" t="inlineStr">
        <is>
          <t>2026-07-09 12:26</t>
        </is>
      </c>
      <c r="B75" t="inlineStr">
        <is>
          <t>图片提炼：蒙草生态</t>
        </is>
      </c>
      <c r="C75" t="inlineStr">
        <is>
          <t>股票</t>
        </is>
      </c>
      <c r="D75" t="inlineStr">
        <is>
          <t>300355</t>
        </is>
      </c>
      <c r="E75" t="inlineStr">
        <is>
          <t>蒙草生态</t>
        </is>
      </c>
      <c r="F75" t="inlineStr">
        <is>
          <t>0.300355</t>
        </is>
      </c>
      <c r="G75" t="inlineStr">
        <is>
          <t>生肖概念</t>
        </is>
      </c>
      <c r="H75" t="inlineStr">
        <is>
          <t/>
        </is>
      </c>
      <c r="I75" t="inlineStr">
        <is>
          <t>2.67</t>
        </is>
      </c>
      <c r="J75" t="inlineStr">
        <is>
          <t>0.00%</t>
        </is>
      </c>
      <c r="K75" t="inlineStr">
        <is>
          <t>-39.59%</t>
        </is>
      </c>
      <c r="L75" t="inlineStr">
        <is>
          <t>-34.72%</t>
        </is>
      </c>
      <c r="M75" t="inlineStr">
        <is>
          <t>-26.85%</t>
        </is>
      </c>
      <c r="N75" t="inlineStr">
        <is>
          <t>-11.88%</t>
        </is>
      </c>
      <c r="O75" t="inlineStr">
        <is>
          <t>42.8亿</t>
        </is>
      </c>
      <c r="P75" t="inlineStr">
        <is>
          <t>谨慎</t>
        </is>
      </c>
      <c r="Q75" t="inlineStr">
        <is>
          <t>高 / 波动30% / 回撤-44%</t>
        </is>
      </c>
      <c r="R75"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t>
        </is>
      </c>
      <c r="S75" t="inlineStr">
        <is>
          <t>公用事业-环保-环保</t>
        </is>
      </c>
      <c r="T75" t="str">
        <f>HYPERLINK("kline_charts/300355_蒙草生态.html","打开K线图")</f>
        <v>打开K线图</v>
      </c>
      <c r="U75" t="inlineStr">
        <is>
          <t>已通过东方财富市场搜索</t>
        </is>
      </c>
      <c r="V75" t="inlineStr">
        <is>
          <t>观察</t>
        </is>
      </c>
    </row>
    <row r="76">
      <c r="A76" t="inlineStr">
        <is>
          <t>2026-07-09 12:26</t>
        </is>
      </c>
      <c r="B76" t="inlineStr">
        <is>
          <t>图片提炼：五洋自控</t>
        </is>
      </c>
      <c r="C76" t="inlineStr">
        <is>
          <t>股票</t>
        </is>
      </c>
      <c r="D76" t="inlineStr">
        <is>
          <t>300420</t>
        </is>
      </c>
      <c r="E76" t="inlineStr">
        <is>
          <t>五洋自控</t>
        </is>
      </c>
      <c r="F76" t="inlineStr">
        <is>
          <t>0.300420</t>
        </is>
      </c>
      <c r="G76" t="inlineStr">
        <is>
          <t>生肖概念</t>
        </is>
      </c>
      <c r="H76" t="inlineStr">
        <is>
          <t/>
        </is>
      </c>
      <c r="I76" t="inlineStr">
        <is>
          <t>7.82</t>
        </is>
      </c>
      <c r="J76" t="inlineStr">
        <is>
          <t>0.00%</t>
        </is>
      </c>
      <c r="K76" t="inlineStr">
        <is>
          <t>127.99%</t>
        </is>
      </c>
      <c r="L76" t="inlineStr">
        <is>
          <t>89.81%</t>
        </is>
      </c>
      <c r="M76" t="inlineStr">
        <is>
          <t>120.28%</t>
        </is>
      </c>
      <c r="N76" t="inlineStr">
        <is>
          <t>26.74%</t>
        </is>
      </c>
      <c r="O76" t="inlineStr">
        <is>
          <t>87.3亿</t>
        </is>
      </c>
      <c r="P76" t="inlineStr">
        <is>
          <t>偏强</t>
        </is>
      </c>
      <c r="Q76" t="inlineStr">
        <is>
          <t>高 / 波动52% / 回撤-26%</t>
        </is>
      </c>
      <c r="R7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S76" t="inlineStr">
        <is>
          <t>机械设备-通用设备-起重运输设备</t>
        </is>
      </c>
      <c r="T76" t="str">
        <f>HYPERLINK("kline_charts/300420_五洋自控.html","打开K线图")</f>
        <v>打开K线图</v>
      </c>
      <c r="U76" t="inlineStr">
        <is>
          <t>已通过东方财富市场搜索</t>
        </is>
      </c>
      <c r="V76" t="inlineStr">
        <is>
          <t>观察</t>
        </is>
      </c>
    </row>
    <row r="77">
      <c r="A77" t="inlineStr">
        <is>
          <t>2026-07-09 12:26</t>
        </is>
      </c>
      <c r="B77" t="inlineStr">
        <is>
          <t>图片提炼：久之洋</t>
        </is>
      </c>
      <c r="C77" t="inlineStr">
        <is>
          <t>股票</t>
        </is>
      </c>
      <c r="D77" t="inlineStr">
        <is>
          <t>300516</t>
        </is>
      </c>
      <c r="E77" t="inlineStr">
        <is>
          <t>久之洋</t>
        </is>
      </c>
      <c r="F77" t="inlineStr">
        <is>
          <t>0.300516</t>
        </is>
      </c>
      <c r="G77" t="inlineStr">
        <is>
          <t>生肖概念</t>
        </is>
      </c>
      <c r="H77" t="inlineStr">
        <is>
          <t/>
        </is>
      </c>
      <c r="I77" t="inlineStr">
        <is>
          <t>30.62</t>
        </is>
      </c>
      <c r="J77" t="inlineStr">
        <is>
          <t>0.00%</t>
        </is>
      </c>
      <c r="K77" t="inlineStr">
        <is>
          <t>12.59%</t>
        </is>
      </c>
      <c r="L77" t="inlineStr">
        <is>
          <t>-52.32%</t>
        </is>
      </c>
      <c r="M77" t="inlineStr">
        <is>
          <t>-29.00%</t>
        </is>
      </c>
      <c r="N77" t="inlineStr">
        <is>
          <t>-18.78%</t>
        </is>
      </c>
      <c r="O77" t="inlineStr">
        <is>
          <t>77.2亿</t>
        </is>
      </c>
      <c r="P77" t="inlineStr">
        <is>
          <t>偏强</t>
        </is>
      </c>
      <c r="Q77" t="inlineStr">
        <is>
          <t>高 / 波动73% / 回撤-55%</t>
        </is>
      </c>
      <c r="R7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t>
        </is>
      </c>
      <c r="S77" t="inlineStr">
        <is>
          <t>电子设备-电子设备制造-电子设备制造</t>
        </is>
      </c>
      <c r="T77" t="str">
        <f>HYPERLINK("kline_charts/300516_久之洋.html","打开K线图")</f>
        <v>打开K线图</v>
      </c>
      <c r="U77" t="inlineStr">
        <is>
          <t>已通过东方财富市场搜索</t>
        </is>
      </c>
      <c r="V77" t="inlineStr">
        <is>
          <t>观察</t>
        </is>
      </c>
    </row>
    <row r="78">
      <c r="A78" t="inlineStr">
        <is>
          <t>2026-07-09 12:26</t>
        </is>
      </c>
      <c r="B78" t="inlineStr">
        <is>
          <t>图片提炼：水羊股份</t>
        </is>
      </c>
      <c r="C78" t="inlineStr">
        <is>
          <t>股票</t>
        </is>
      </c>
      <c r="D78" t="inlineStr">
        <is>
          <t>300740</t>
        </is>
      </c>
      <c r="E78" t="inlineStr">
        <is>
          <t>水羊股份</t>
        </is>
      </c>
      <c r="F78" t="inlineStr">
        <is>
          <t>0.300740</t>
        </is>
      </c>
      <c r="G78" t="inlineStr">
        <is>
          <t>生肖概念</t>
        </is>
      </c>
      <c r="H78" t="inlineStr">
        <is>
          <t/>
        </is>
      </c>
      <c r="I78" t="inlineStr">
        <is>
          <t>19.34</t>
        </is>
      </c>
      <c r="J78" t="inlineStr">
        <is>
          <t>0.00%</t>
        </is>
      </c>
      <c r="K78" t="inlineStr">
        <is>
          <t>19.45%</t>
        </is>
      </c>
      <c r="L78" t="inlineStr">
        <is>
          <t>-19.82%</t>
        </is>
      </c>
      <c r="M78" t="inlineStr">
        <is>
          <t>-8.08%</t>
        </is>
      </c>
      <c r="N78" t="inlineStr">
        <is>
          <t>-17.14%</t>
        </is>
      </c>
      <c r="O78" t="inlineStr">
        <is>
          <t>75.9亿</t>
        </is>
      </c>
      <c r="P78" t="inlineStr">
        <is>
          <t>偏强</t>
        </is>
      </c>
      <c r="Q78" t="inlineStr">
        <is>
          <t>高 / 波动50% / 回撤-35%</t>
        </is>
      </c>
      <c r="R78" t="inlineStr">
        <is>
          <t>计算机软件销售;信息技术咨询服务;计算机技术咨询;计算机网络系统工程服务;计算机技术开发、技术服务;化妆品零售;日用品销售;清洁用品销售;家用电器零售;化工原料(监控化学品、危险化学品除外)销售;生物技术开发服务;电子产品生产;电子产品零售;企业管理咨询服务;广告制作服务;广告发布服务;广告国内代理服务;广告设计;化妆品的研发。(依法须经批准的项目,经相关部门批准后方可开展经营活动)</t>
        </is>
      </c>
      <c r="S78" t="inlineStr">
        <is>
          <t>基础化工-化学制品-日用化学品</t>
        </is>
      </c>
      <c r="T78" t="str">
        <f>HYPERLINK("kline_charts/300740_水羊股份.html","打开K线图")</f>
        <v>打开K线图</v>
      </c>
      <c r="U78" t="inlineStr">
        <is>
          <t>已通过东方财富市场搜索</t>
        </is>
      </c>
      <c r="V78" t="inlineStr">
        <is>
          <t>观察</t>
        </is>
      </c>
    </row>
    <row r="79">
      <c r="A79" t="inlineStr">
        <is>
          <t>2026-07-09 12:26</t>
        </is>
      </c>
      <c r="B79" t="inlineStr">
        <is>
          <t>图片提炼：三羊马</t>
        </is>
      </c>
      <c r="C79" t="inlineStr">
        <is>
          <t>股票</t>
        </is>
      </c>
      <c r="D79" t="inlineStr">
        <is>
          <t>001317</t>
        </is>
      </c>
      <c r="E79" t="inlineStr">
        <is>
          <t>三羊马</t>
        </is>
      </c>
      <c r="F79" t="inlineStr">
        <is>
          <t>0.001317</t>
        </is>
      </c>
      <c r="G79" t="inlineStr">
        <is>
          <t>生肖概念</t>
        </is>
      </c>
      <c r="H79" t="inlineStr">
        <is>
          <t/>
        </is>
      </c>
      <c r="I79" t="inlineStr">
        <is>
          <t>42.88</t>
        </is>
      </c>
      <c r="J79" t="inlineStr">
        <is>
          <t>0.00%</t>
        </is>
      </c>
      <c r="K79" t="inlineStr">
        <is>
          <t>-6.92%</t>
        </is>
      </c>
      <c r="L79" t="inlineStr">
        <is>
          <t>-21.47%</t>
        </is>
      </c>
      <c r="M79" t="inlineStr">
        <is>
          <t>-10.94%</t>
        </is>
      </c>
      <c r="N79" t="inlineStr">
        <is>
          <t>-25.24%</t>
        </is>
      </c>
      <c r="O79" t="inlineStr">
        <is>
          <t>36.7亿</t>
        </is>
      </c>
      <c r="P79" t="inlineStr">
        <is>
          <t>谨慎</t>
        </is>
      </c>
      <c r="Q79" t="inlineStr">
        <is>
          <t>高 / 波动50% / 回撤-36%</t>
        </is>
      </c>
      <c r="R79" t="inlineStr">
        <is>
          <t>许可项目:进出口代理(依法须经批准的项目,经相关部门批准后方可开展经营活动,具体经营项目以相关部门批准文件或许可证件为准)一般项目:普通货运(按许可证核准的事项及期限从事经营)、餐饮服务(取得相关行政许可后方可从事经营);货物运输代理;从事陆路、海上、航空国际货物运输代理业务;汽车销售;汽车租赁(须取得相关资质或审批后方可从事经营);洗车服务;代办车辆的年审、上户、过户、转籍、补牌、补证、按揭手续;代办机动车驾驶证的年审、换领补证手续…</t>
        </is>
      </c>
      <c r="S79" t="inlineStr">
        <is>
          <t>交通运输-物流-物流</t>
        </is>
      </c>
      <c r="T79" t="str">
        <f>HYPERLINK("kline_charts/001317_三羊马.html","打开K线图")</f>
        <v>打开K线图</v>
      </c>
      <c r="U79" t="inlineStr">
        <is>
          <t>已通过东方财富市场搜索</t>
        </is>
      </c>
      <c r="V79" t="inlineStr">
        <is>
          <t>观察</t>
        </is>
      </c>
    </row>
  </sheetData>
  <autoFilter ref="A1:V79"/>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22" customWidth="1"/>
    <col min="3" max="3" width="12" customWidth="1"/>
    <col min="4" max="4" width="12" customWidth="1"/>
    <col min="5" max="5" width="18" customWidth="1"/>
    <col min="6" max="6" width="14" customWidth="1"/>
    <col min="7" max="7" width="34" customWidth="1"/>
    <col min="8" max="8" width="42" customWidth="1"/>
    <col min="9" max="9" width="12" customWidth="1"/>
    <col min="10" max="10" width="14" customWidth="1"/>
    <col min="11" max="11" width="14" customWidth="1"/>
    <col min="12" max="12" width="14" customWidth="1"/>
  </cols>
  <sheetData>
    <row r="1">
      <c r="A1" t="inlineStr">
        <is>
          <t>原始输入</t>
        </is>
      </c>
      <c r="B1" t="inlineStr">
        <is>
          <t>类型</t>
        </is>
      </c>
      <c r="C1" t="inlineStr">
        <is>
          <t>代码</t>
        </is>
      </c>
      <c r="D1" t="inlineStr">
        <is>
          <t>名称</t>
        </is>
      </c>
      <c r="E1" t="inlineStr">
        <is>
          <t>关联主题/挂载</t>
        </is>
      </c>
      <c r="F1" t="inlineStr">
        <is>
          <t>计划状态</t>
        </is>
      </c>
      <c r="G1" t="inlineStr">
        <is>
          <t>计划仓位</t>
        </is>
      </c>
      <c r="H1" t="inlineStr">
        <is>
          <t>买入/加仓触发</t>
        </is>
      </c>
      <c r="I1" t="inlineStr">
        <is>
          <t>减仓/止损</t>
        </is>
      </c>
      <c r="J1" t="inlineStr">
        <is>
          <t>止盈/退出</t>
        </is>
      </c>
      <c r="K1" t="inlineStr">
        <is>
          <t>复盘频率</t>
        </is>
      </c>
      <c r="L1" t="inlineStr">
        <is>
          <t>备注</t>
        </is>
      </c>
    </row>
    <row r="2">
      <c r="A2" t="inlineStr">
        <is>
          <t>燃气轮机概念/板块</t>
        </is>
      </c>
      <c r="B2" t="inlineStr">
        <is>
          <t>概念/板块</t>
        </is>
      </c>
      <c r="C2" t="inlineStr">
        <is>
          <t>CUSTOM_燃气轮机概念/板块</t>
        </is>
      </c>
      <c r="D2" t="inlineStr">
        <is>
          <t>燃气轮机概念/板块</t>
        </is>
      </c>
      <c r="E2" t="inlineStr">
        <is>
          <t>燃气轮机概念/板块</t>
        </is>
      </c>
      <c r="F2" t="inlineStr">
        <is>
          <t>观察</t>
        </is>
      </c>
      <c r="G2" t="inlineStr">
        <is>
          <t/>
        </is>
      </c>
      <c r="H2" t="inlineStr">
        <is>
          <t/>
        </is>
      </c>
      <c r="I2" t="inlineStr">
        <is>
          <t/>
        </is>
      </c>
      <c r="J2" t="inlineStr">
        <is>
          <t/>
        </is>
      </c>
      <c r="K2" t="inlineStr">
        <is>
          <t>每周/事件触发</t>
        </is>
      </c>
      <c r="L2" t="inlineStr">
        <is>
          <t/>
        </is>
      </c>
    </row>
    <row r="3">
      <c r="A3" t="inlineStr">
        <is>
          <t>商业航天</t>
        </is>
      </c>
      <c r="B3" t="inlineStr">
        <is>
          <t>概念/板块</t>
        </is>
      </c>
      <c r="C3" t="inlineStr">
        <is>
          <t>BK0963</t>
        </is>
      </c>
      <c r="D3" t="inlineStr">
        <is>
          <t>商业航天</t>
        </is>
      </c>
      <c r="E3" t="inlineStr">
        <is>
          <t>商业航天</t>
        </is>
      </c>
      <c r="F3" t="inlineStr">
        <is>
          <t>观察</t>
        </is>
      </c>
      <c r="G3" t="inlineStr">
        <is>
          <t/>
        </is>
      </c>
      <c r="H3" t="inlineStr">
        <is>
          <t/>
        </is>
      </c>
      <c r="I3" t="inlineStr">
        <is>
          <t/>
        </is>
      </c>
      <c r="J3" t="inlineStr">
        <is>
          <t/>
        </is>
      </c>
      <c r="K3" t="inlineStr">
        <is>
          <t>每周/事件触发</t>
        </is>
      </c>
      <c r="L3" t="inlineStr">
        <is>
          <t/>
        </is>
      </c>
    </row>
    <row r="4">
      <c r="A4" t="inlineStr">
        <is>
          <t>可回收商业航天</t>
        </is>
      </c>
      <c r="B4" t="inlineStr">
        <is>
          <t>概念/板块</t>
        </is>
      </c>
      <c r="C4" t="inlineStr">
        <is>
          <t>CUSTOM_可回收商业航天</t>
        </is>
      </c>
      <c r="D4" t="inlineStr">
        <is>
          <t>可回收商业航天</t>
        </is>
      </c>
      <c r="E4" t="inlineStr">
        <is>
          <t>可回收商业航天</t>
        </is>
      </c>
      <c r="F4" t="inlineStr">
        <is>
          <t>观察</t>
        </is>
      </c>
      <c r="G4" t="inlineStr">
        <is>
          <t/>
        </is>
      </c>
      <c r="H4" t="inlineStr">
        <is>
          <t/>
        </is>
      </c>
      <c r="I4" t="inlineStr">
        <is>
          <t/>
        </is>
      </c>
      <c r="J4" t="inlineStr">
        <is>
          <t/>
        </is>
      </c>
      <c r="K4" t="inlineStr">
        <is>
          <t>每周/事件触发</t>
        </is>
      </c>
      <c r="L4" t="inlineStr">
        <is>
          <t/>
        </is>
      </c>
    </row>
    <row r="5">
      <c r="A5" t="inlineStr">
        <is>
          <t>金风</t>
        </is>
      </c>
      <c r="B5" t="inlineStr">
        <is>
          <t>股票</t>
        </is>
      </c>
      <c r="C5" t="inlineStr">
        <is>
          <t>002202</t>
        </is>
      </c>
      <c r="D5" t="inlineStr">
        <is>
          <t>金风科技</t>
        </is>
      </c>
      <c r="E5" t="inlineStr">
        <is>
          <t>燃气轮机概念/板块（父项未添加，待确认）</t>
        </is>
      </c>
      <c r="F5" t="inlineStr">
        <is>
          <t>观察</t>
        </is>
      </c>
      <c r="G5" t="inlineStr">
        <is>
          <t/>
        </is>
      </c>
      <c r="H5" t="inlineStr">
        <is>
          <t/>
        </is>
      </c>
      <c r="I5" t="inlineStr">
        <is>
          <t/>
        </is>
      </c>
      <c r="J5" t="inlineStr">
        <is>
          <t/>
        </is>
      </c>
      <c r="K5" t="inlineStr">
        <is>
          <t>每周/事件触发</t>
        </is>
      </c>
      <c r="L5" t="inlineStr">
        <is>
          <t/>
        </is>
      </c>
    </row>
    <row r="6">
      <c r="A6" t="inlineStr">
        <is>
          <t>铖昌（主要做天线相关的）</t>
        </is>
      </c>
      <c r="B6" t="inlineStr">
        <is>
          <t>股票</t>
        </is>
      </c>
      <c r="C6" t="inlineStr">
        <is>
          <t>001270</t>
        </is>
      </c>
      <c r="D6" t="inlineStr">
        <is>
          <t>铖昌科技</t>
        </is>
      </c>
      <c r="E6" t="inlineStr">
        <is>
          <t>商业航天；天线相关</t>
        </is>
      </c>
      <c r="F6" t="inlineStr">
        <is>
          <t>观察</t>
        </is>
      </c>
      <c r="G6" t="inlineStr">
        <is>
          <t/>
        </is>
      </c>
      <c r="H6" t="inlineStr">
        <is>
          <t/>
        </is>
      </c>
      <c r="I6" t="inlineStr">
        <is>
          <t/>
        </is>
      </c>
      <c r="J6" t="inlineStr">
        <is>
          <t/>
        </is>
      </c>
      <c r="K6" t="inlineStr">
        <is>
          <t>每周/事件触发</t>
        </is>
      </c>
      <c r="L6" t="inlineStr">
        <is>
          <t/>
        </is>
      </c>
    </row>
    <row r="7">
      <c r="A7" t="inlineStr">
        <is>
          <t>至纯科技</t>
        </is>
      </c>
      <c r="B7" t="inlineStr">
        <is>
          <t>股票</t>
        </is>
      </c>
      <c r="C7" t="inlineStr">
        <is>
          <t>603690</t>
        </is>
      </c>
      <c r="D7" t="inlineStr">
        <is>
          <t>至纯科技</t>
        </is>
      </c>
      <c r="E7" t="inlineStr">
        <is>
          <t>半导体设备ETF(159558)；湿法化学品待确认</t>
        </is>
      </c>
      <c r="F7" t="inlineStr">
        <is>
          <t>观察</t>
        </is>
      </c>
      <c r="G7" t="inlineStr">
        <is>
          <t/>
        </is>
      </c>
      <c r="H7" t="inlineStr">
        <is>
          <t/>
        </is>
      </c>
      <c r="I7" t="inlineStr">
        <is>
          <t/>
        </is>
      </c>
      <c r="J7" t="inlineStr">
        <is>
          <t/>
        </is>
      </c>
      <c r="K7" t="inlineStr">
        <is>
          <t>每周/事件触发</t>
        </is>
      </c>
      <c r="L7" t="inlineStr">
        <is>
          <t/>
        </is>
      </c>
    </row>
    <row r="8">
      <c r="A8" t="inlineStr">
        <is>
          <t>159558</t>
        </is>
      </c>
      <c r="B8" t="inlineStr">
        <is>
          <t>ETF/基金</t>
        </is>
      </c>
      <c r="C8" t="inlineStr">
        <is>
          <t>159558</t>
        </is>
      </c>
      <c r="D8" t="inlineStr">
        <is>
          <t>半导体设备ETF易方达</t>
        </is>
      </c>
      <c r="E8" t="inlineStr">
        <is>
          <t>半导体设备ETF</t>
        </is>
      </c>
      <c r="F8" t="inlineStr">
        <is>
          <t>观察</t>
        </is>
      </c>
      <c r="G8" t="inlineStr">
        <is>
          <t/>
        </is>
      </c>
      <c r="H8" t="inlineStr">
        <is>
          <t/>
        </is>
      </c>
      <c r="I8" t="inlineStr">
        <is>
          <t/>
        </is>
      </c>
      <c r="J8" t="inlineStr">
        <is>
          <t/>
        </is>
      </c>
      <c r="K8" t="inlineStr">
        <is>
          <t>每周/事件触发</t>
        </is>
      </c>
      <c r="L8" t="inlineStr">
        <is>
          <t/>
        </is>
      </c>
    </row>
    <row r="9">
      <c r="A9" t="inlineStr">
        <is>
          <t>501201</t>
        </is>
      </c>
      <c r="B9" t="inlineStr">
        <is>
          <t>基金</t>
        </is>
      </c>
      <c r="C9" t="inlineStr">
        <is>
          <t>501201</t>
        </is>
      </c>
      <c r="D9" t="inlineStr">
        <is>
          <t>科创红土LOF</t>
        </is>
      </c>
      <c r="E9" t="inlineStr">
        <is>
          <t>基金</t>
        </is>
      </c>
      <c r="F9" t="inlineStr">
        <is>
          <t>观察</t>
        </is>
      </c>
      <c r="G9" t="inlineStr">
        <is>
          <t/>
        </is>
      </c>
      <c r="H9" t="inlineStr">
        <is>
          <t/>
        </is>
      </c>
      <c r="I9" t="inlineStr">
        <is>
          <t/>
        </is>
      </c>
      <c r="J9" t="inlineStr">
        <is>
          <t/>
        </is>
      </c>
      <c r="K9" t="inlineStr">
        <is>
          <t>每周/事件触发</t>
        </is>
      </c>
      <c r="L9" t="inlineStr">
        <is>
          <t/>
        </is>
      </c>
    </row>
    <row r="10">
      <c r="A10" t="inlineStr">
        <is>
          <t>168401</t>
        </is>
      </c>
      <c r="B10" t="inlineStr">
        <is>
          <t>基金</t>
        </is>
      </c>
      <c r="C10" t="inlineStr">
        <is>
          <t>168401</t>
        </is>
      </c>
      <c r="D10" t="inlineStr">
        <is>
          <t>红土创新精选LOF</t>
        </is>
      </c>
      <c r="E10" t="inlineStr">
        <is>
          <t>基金</t>
        </is>
      </c>
      <c r="F10" t="inlineStr">
        <is>
          <t>观察</t>
        </is>
      </c>
      <c r="G10" t="inlineStr">
        <is>
          <t/>
        </is>
      </c>
      <c r="H10" t="inlineStr">
        <is>
          <t/>
        </is>
      </c>
      <c r="I10" t="inlineStr">
        <is>
          <t/>
        </is>
      </c>
      <c r="J10" t="inlineStr">
        <is>
          <t/>
        </is>
      </c>
      <c r="K10" t="inlineStr">
        <is>
          <t>每周/事件触发</t>
        </is>
      </c>
      <c r="L10" t="inlineStr">
        <is>
          <t/>
        </is>
      </c>
    </row>
    <row r="11">
      <c r="A11" t="inlineStr">
        <is>
          <t>龙蟠科技</t>
        </is>
      </c>
      <c r="B11" t="inlineStr">
        <is>
          <t>股票</t>
        </is>
      </c>
      <c r="C11" t="inlineStr">
        <is>
          <t>603906</t>
        </is>
      </c>
      <c r="D11" t="inlineStr">
        <is>
          <t>龙蟠科技</t>
        </is>
      </c>
      <c r="E11" t="inlineStr">
        <is>
          <t>锂电材料</t>
        </is>
      </c>
      <c r="F11" t="inlineStr">
        <is>
          <t>观察</t>
        </is>
      </c>
      <c r="G11" t="inlineStr">
        <is>
          <t/>
        </is>
      </c>
      <c r="H11" t="inlineStr">
        <is>
          <t/>
        </is>
      </c>
      <c r="I11" t="inlineStr">
        <is>
          <t/>
        </is>
      </c>
      <c r="J11" t="inlineStr">
        <is>
          <t/>
        </is>
      </c>
      <c r="K11" t="inlineStr">
        <is>
          <t>每周/事件触发</t>
        </is>
      </c>
      <c r="L11" t="inlineStr">
        <is>
          <t/>
        </is>
      </c>
    </row>
    <row r="12">
      <c r="A12" t="inlineStr">
        <is>
          <t>中证500指数</t>
        </is>
      </c>
      <c r="B12" t="inlineStr">
        <is>
          <t>指数</t>
        </is>
      </c>
      <c r="C12" t="inlineStr">
        <is>
          <t>000905</t>
        </is>
      </c>
      <c r="D12" t="inlineStr">
        <is>
          <t>中证500</t>
        </is>
      </c>
      <c r="E12" t="inlineStr">
        <is>
          <t>中证500指数</t>
        </is>
      </c>
      <c r="F12" t="inlineStr">
        <is>
          <t>观察</t>
        </is>
      </c>
      <c r="G12" t="inlineStr">
        <is>
          <t/>
        </is>
      </c>
      <c r="H12" t="inlineStr">
        <is>
          <t/>
        </is>
      </c>
      <c r="I12" t="inlineStr">
        <is>
          <t/>
        </is>
      </c>
      <c r="J12" t="inlineStr">
        <is>
          <t/>
        </is>
      </c>
      <c r="K12" t="inlineStr">
        <is>
          <t>每周/事件触发</t>
        </is>
      </c>
      <c r="L12" t="inlineStr">
        <is>
          <t/>
        </is>
      </c>
    </row>
    <row r="13">
      <c r="A13" t="inlineStr">
        <is>
          <t>广联航空</t>
        </is>
      </c>
      <c r="B13" t="inlineStr">
        <is>
          <t>股票</t>
        </is>
      </c>
      <c r="C13" t="inlineStr">
        <is>
          <t>300900</t>
        </is>
      </c>
      <c r="D13" t="inlineStr">
        <is>
          <t>广联航空</t>
        </is>
      </c>
      <c r="E13" t="inlineStr">
        <is>
          <t>商业航天</t>
        </is>
      </c>
      <c r="F13" t="inlineStr">
        <is>
          <t>观察</t>
        </is>
      </c>
      <c r="G13" t="inlineStr">
        <is>
          <t/>
        </is>
      </c>
      <c r="H13" t="inlineStr">
        <is>
          <t/>
        </is>
      </c>
      <c r="I13" t="inlineStr">
        <is>
          <t/>
        </is>
      </c>
      <c r="J13" t="inlineStr">
        <is>
          <t/>
        </is>
      </c>
      <c r="K13" t="inlineStr">
        <is>
          <t>每周/事件触发</t>
        </is>
      </c>
      <c r="L13" t="inlineStr">
        <is>
          <t/>
        </is>
      </c>
    </row>
    <row r="14">
      <c r="A14" t="inlineStr">
        <is>
          <t>商络电子</t>
        </is>
      </c>
      <c r="B14" t="inlineStr">
        <is>
          <t>股票</t>
        </is>
      </c>
      <c r="C14" t="inlineStr">
        <is>
          <t>300975</t>
        </is>
      </c>
      <c r="D14" t="inlineStr">
        <is>
          <t>商络电子</t>
        </is>
      </c>
      <c r="E14" t="inlineStr">
        <is>
          <t>商业航天/电子元器件</t>
        </is>
      </c>
      <c r="F14" t="inlineStr">
        <is>
          <t>观察</t>
        </is>
      </c>
      <c r="G14" t="inlineStr">
        <is>
          <t/>
        </is>
      </c>
      <c r="H14" t="inlineStr">
        <is>
          <t/>
        </is>
      </c>
      <c r="I14" t="inlineStr">
        <is>
          <t/>
        </is>
      </c>
      <c r="J14" t="inlineStr">
        <is>
          <t/>
        </is>
      </c>
      <c r="K14" t="inlineStr">
        <is>
          <t>每周/事件触发</t>
        </is>
      </c>
      <c r="L14" t="inlineStr">
        <is>
          <t/>
        </is>
      </c>
    </row>
    <row r="15">
      <c r="A15" t="inlineStr">
        <is>
          <t>600497</t>
        </is>
      </c>
      <c r="B15" t="inlineStr">
        <is>
          <t>股票</t>
        </is>
      </c>
      <c r="C15" t="inlineStr">
        <is>
          <t>600497</t>
        </is>
      </c>
      <c r="D15" t="inlineStr">
        <is>
          <t>驰宏锌锗</t>
        </is>
      </c>
      <c r="E15" t="inlineStr">
        <is>
          <t>锗/小金属</t>
        </is>
      </c>
      <c r="F15" t="inlineStr">
        <is>
          <t>观察</t>
        </is>
      </c>
      <c r="G15" t="inlineStr">
        <is>
          <t/>
        </is>
      </c>
      <c r="H15" t="inlineStr">
        <is>
          <t/>
        </is>
      </c>
      <c r="I15" t="inlineStr">
        <is>
          <t/>
        </is>
      </c>
      <c r="J15" t="inlineStr">
        <is>
          <t/>
        </is>
      </c>
      <c r="K15" t="inlineStr">
        <is>
          <t>每周/事件触发</t>
        </is>
      </c>
      <c r="L15" t="inlineStr">
        <is>
          <t/>
        </is>
      </c>
    </row>
    <row r="16">
      <c r="A16" t="inlineStr">
        <is>
          <t>云南锗业</t>
        </is>
      </c>
      <c r="B16" t="inlineStr">
        <is>
          <t>股票</t>
        </is>
      </c>
      <c r="C16" t="inlineStr">
        <is>
          <t>002428</t>
        </is>
      </c>
      <c r="D16" t="inlineStr">
        <is>
          <t>云南锗业</t>
        </is>
      </c>
      <c r="E16" t="inlineStr">
        <is>
          <t>锗/小金属</t>
        </is>
      </c>
      <c r="F16" t="inlineStr">
        <is>
          <t>观察</t>
        </is>
      </c>
      <c r="G16" t="inlineStr">
        <is>
          <t/>
        </is>
      </c>
      <c r="H16" t="inlineStr">
        <is>
          <t/>
        </is>
      </c>
      <c r="I16" t="inlineStr">
        <is>
          <t/>
        </is>
      </c>
      <c r="J16" t="inlineStr">
        <is>
          <t/>
        </is>
      </c>
      <c r="K16" t="inlineStr">
        <is>
          <t>每周/事件触发</t>
        </is>
      </c>
      <c r="L16" t="inlineStr">
        <is>
          <t/>
        </is>
      </c>
    </row>
    <row r="17">
      <c r="A17" t="inlineStr">
        <is>
          <t>顺络</t>
        </is>
      </c>
      <c r="B17" t="inlineStr">
        <is>
          <t>股票</t>
        </is>
      </c>
      <c r="C17" t="inlineStr">
        <is>
          <t>002138</t>
        </is>
      </c>
      <c r="D17" t="inlineStr">
        <is>
          <t>顺络电子</t>
        </is>
      </c>
      <c r="E17" t="inlineStr">
        <is>
          <t>电子元件</t>
        </is>
      </c>
      <c r="F17" t="inlineStr">
        <is>
          <t>观察</t>
        </is>
      </c>
      <c r="G17" t="inlineStr">
        <is>
          <t/>
        </is>
      </c>
      <c r="H17" t="inlineStr">
        <is>
          <t/>
        </is>
      </c>
      <c r="I17" t="inlineStr">
        <is>
          <t/>
        </is>
      </c>
      <c r="J17" t="inlineStr">
        <is>
          <t/>
        </is>
      </c>
      <c r="K17" t="inlineStr">
        <is>
          <t>每周/事件触发</t>
        </is>
      </c>
      <c r="L17" t="inlineStr">
        <is>
          <t/>
        </is>
      </c>
    </row>
    <row r="18">
      <c r="A18" t="inlineStr">
        <is>
          <t>江波龙</t>
        </is>
      </c>
      <c r="B18" t="inlineStr">
        <is>
          <t>股票</t>
        </is>
      </c>
      <c r="C18" t="inlineStr">
        <is>
          <t>301308</t>
        </is>
      </c>
      <c r="D18" t="inlineStr">
        <is>
          <t>江波龙</t>
        </is>
      </c>
      <c r="E18" t="inlineStr">
        <is>
          <t>存储/半导体</t>
        </is>
      </c>
      <c r="F18" t="inlineStr">
        <is>
          <t>观察</t>
        </is>
      </c>
      <c r="G18" t="inlineStr">
        <is>
          <t/>
        </is>
      </c>
      <c r="H18" t="inlineStr">
        <is>
          <t/>
        </is>
      </c>
      <c r="I18" t="inlineStr">
        <is>
          <t/>
        </is>
      </c>
      <c r="J18" t="inlineStr">
        <is>
          <t/>
        </is>
      </c>
      <c r="K18" t="inlineStr">
        <is>
          <t>每周/事件触发</t>
        </is>
      </c>
      <c r="L18" t="inlineStr">
        <is>
          <t/>
        </is>
      </c>
    </row>
    <row r="19">
      <c r="A19" t="inlineStr">
        <is>
          <t>湿法化学品</t>
        </is>
      </c>
      <c r="B19" t="inlineStr">
        <is>
          <t>概念/板块</t>
        </is>
      </c>
      <c r="C19" t="inlineStr">
        <is>
          <t>CUSTOM_湿法化学品</t>
        </is>
      </c>
      <c r="D19" t="inlineStr">
        <is>
          <t>湿法化学品</t>
        </is>
      </c>
      <c r="E19" t="inlineStr">
        <is>
          <t>湿法化学品</t>
        </is>
      </c>
      <c r="F19" t="inlineStr">
        <is>
          <t>观察</t>
        </is>
      </c>
      <c r="G19" t="inlineStr">
        <is>
          <t/>
        </is>
      </c>
      <c r="H19" t="inlineStr">
        <is>
          <t/>
        </is>
      </c>
      <c r="I19" t="inlineStr">
        <is>
          <t/>
        </is>
      </c>
      <c r="J19" t="inlineStr">
        <is>
          <t/>
        </is>
      </c>
      <c r="K19" t="inlineStr">
        <is>
          <t>每周/事件触发</t>
        </is>
      </c>
      <c r="L19" t="inlineStr">
        <is>
          <t/>
        </is>
      </c>
    </row>
    <row r="20">
      <c r="A20" t="inlineStr">
        <is>
          <t>江化微</t>
        </is>
      </c>
      <c r="B20" t="inlineStr">
        <is>
          <t>股票</t>
        </is>
      </c>
      <c r="C20" t="inlineStr">
        <is>
          <t>603078</t>
        </is>
      </c>
      <c r="D20" t="inlineStr">
        <is>
          <t>江化微</t>
        </is>
      </c>
      <c r="E20" t="inlineStr">
        <is>
          <t>湿法化学品待确认/电子化学品</t>
        </is>
      </c>
      <c r="F20" t="inlineStr">
        <is>
          <t>观察</t>
        </is>
      </c>
      <c r="G20" t="inlineStr">
        <is>
          <t/>
        </is>
      </c>
      <c r="H20" t="inlineStr">
        <is>
          <t/>
        </is>
      </c>
      <c r="I20" t="inlineStr">
        <is>
          <t/>
        </is>
      </c>
      <c r="J20" t="inlineStr">
        <is>
          <t/>
        </is>
      </c>
      <c r="K20" t="inlineStr">
        <is>
          <t>每周/事件触发</t>
        </is>
      </c>
      <c r="L20" t="inlineStr">
        <is>
          <t/>
        </is>
      </c>
    </row>
    <row r="21">
      <c r="A21" t="inlineStr">
        <is>
          <t>太极实业</t>
        </is>
      </c>
      <c r="B21" t="inlineStr">
        <is>
          <t>股票</t>
        </is>
      </c>
      <c r="C21" t="inlineStr">
        <is>
          <t>600667</t>
        </is>
      </c>
      <c r="D21" t="inlineStr">
        <is>
          <t>太极实业</t>
        </is>
      </c>
      <c r="E21" t="inlineStr">
        <is>
          <t>半导体工程/电子制造</t>
        </is>
      </c>
      <c r="F21" t="inlineStr">
        <is>
          <t>观察</t>
        </is>
      </c>
      <c r="G21" t="inlineStr">
        <is>
          <t/>
        </is>
      </c>
      <c r="H21" t="inlineStr">
        <is>
          <t/>
        </is>
      </c>
      <c r="I21" t="inlineStr">
        <is>
          <t/>
        </is>
      </c>
      <c r="J21" t="inlineStr">
        <is>
          <t/>
        </is>
      </c>
      <c r="K21" t="inlineStr">
        <is>
          <t>每周/事件触发</t>
        </is>
      </c>
      <c r="L21" t="inlineStr">
        <is>
          <t/>
        </is>
      </c>
    </row>
    <row r="22">
      <c r="A22" t="inlineStr">
        <is>
          <t>603773</t>
        </is>
      </c>
      <c r="B22" t="inlineStr">
        <is>
          <t>股票</t>
        </is>
      </c>
      <c r="C22" t="inlineStr">
        <is>
          <t>603773</t>
        </is>
      </c>
      <c r="D22" t="inlineStr">
        <is>
          <t>沃格光电</t>
        </is>
      </c>
      <c r="E22" t="inlineStr">
        <is>
          <t>电子材料/显示</t>
        </is>
      </c>
      <c r="F22" t="inlineStr">
        <is>
          <t>观察</t>
        </is>
      </c>
      <c r="G22" t="inlineStr">
        <is>
          <t/>
        </is>
      </c>
      <c r="H22" t="inlineStr">
        <is>
          <t/>
        </is>
      </c>
      <c r="I22" t="inlineStr">
        <is>
          <t/>
        </is>
      </c>
      <c r="J22" t="inlineStr">
        <is>
          <t/>
        </is>
      </c>
      <c r="K22" t="inlineStr">
        <is>
          <t>每周/事件触发</t>
        </is>
      </c>
      <c r="L22" t="inlineStr">
        <is>
          <t/>
        </is>
      </c>
    </row>
    <row r="23">
      <c r="A23" t="inlineStr">
        <is>
          <t>江丰电子</t>
        </is>
      </c>
      <c r="B23" t="inlineStr">
        <is>
          <t>股票</t>
        </is>
      </c>
      <c r="C23" t="inlineStr">
        <is>
          <t>300666</t>
        </is>
      </c>
      <c r="D23" t="inlineStr">
        <is>
          <t>江丰电子</t>
        </is>
      </c>
      <c r="E23" t="inlineStr">
        <is>
          <t>半导体材料</t>
        </is>
      </c>
      <c r="F23" t="inlineStr">
        <is>
          <t>观察</t>
        </is>
      </c>
      <c r="G23" t="inlineStr">
        <is>
          <t/>
        </is>
      </c>
      <c r="H23" t="inlineStr">
        <is>
          <t/>
        </is>
      </c>
      <c r="I23" t="inlineStr">
        <is>
          <t/>
        </is>
      </c>
      <c r="J23" t="inlineStr">
        <is>
          <t/>
        </is>
      </c>
      <c r="K23" t="inlineStr">
        <is>
          <t>每周/事件触发</t>
        </is>
      </c>
      <c r="L23" t="inlineStr">
        <is>
          <t/>
        </is>
      </c>
    </row>
    <row r="24">
      <c r="A24" t="inlineStr">
        <is>
          <t>多氟多</t>
        </is>
      </c>
      <c r="B24" t="inlineStr">
        <is>
          <t>股票</t>
        </is>
      </c>
      <c r="C24" t="inlineStr">
        <is>
          <t>002407</t>
        </is>
      </c>
      <c r="D24" t="inlineStr">
        <is>
          <t>多氟多</t>
        </is>
      </c>
      <c r="E24" t="inlineStr">
        <is>
          <t>氟化工/锂电材料</t>
        </is>
      </c>
      <c r="F24" t="inlineStr">
        <is>
          <t>观察</t>
        </is>
      </c>
      <c r="G24" t="inlineStr">
        <is>
          <t/>
        </is>
      </c>
      <c r="H24" t="inlineStr">
        <is>
          <t/>
        </is>
      </c>
      <c r="I24" t="inlineStr">
        <is>
          <t/>
        </is>
      </c>
      <c r="J24" t="inlineStr">
        <is>
          <t/>
        </is>
      </c>
      <c r="K24" t="inlineStr">
        <is>
          <t>每周/事件触发</t>
        </is>
      </c>
      <c r="L24" t="inlineStr">
        <is>
          <t/>
        </is>
      </c>
    </row>
    <row r="25">
      <c r="A25" t="inlineStr">
        <is>
          <t>图片提炼：永太科技业绩预增</t>
        </is>
      </c>
      <c r="B25" t="inlineStr">
        <is>
          <t>股票</t>
        </is>
      </c>
      <c r="C25" t="inlineStr">
        <is>
          <t>002326</t>
        </is>
      </c>
      <c r="D25" t="inlineStr">
        <is>
          <t>永太科技</t>
        </is>
      </c>
      <c r="E25" t="inlineStr">
        <is>
          <t>锂电材料；六氟磷酸锂；LiFSI；VC；电解液；新能源车/储能</t>
        </is>
      </c>
      <c r="F25" t="inlineStr">
        <is>
          <t>观察</t>
        </is>
      </c>
      <c r="G25" t="inlineStr">
        <is>
          <t/>
        </is>
      </c>
      <c r="H25" t="inlineStr">
        <is>
          <t/>
        </is>
      </c>
      <c r="I25" t="inlineStr">
        <is>
          <t/>
        </is>
      </c>
      <c r="J25" t="inlineStr">
        <is>
          <t/>
        </is>
      </c>
      <c r="K25" t="inlineStr">
        <is>
          <t>每周/事件触发</t>
        </is>
      </c>
      <c r="L25" t="inlineStr">
        <is>
          <t>2026-06-30财联社电报：永太科技预计2026年上半年归母净利润2.65亿-3.30亿元，同比增长350.68%-461.22%；受益新能源车及储能需求增长，六氟磷酸锂、LiFSI、VC及电解液等产品销量与价格同比提升，Q2净利润预计环比增长53%-115%。</t>
        </is>
      </c>
    </row>
    <row r="26">
      <c r="A26" t="inlineStr">
        <is>
          <t>机器人板块</t>
        </is>
      </c>
      <c r="B26" t="inlineStr">
        <is>
          <t>概念/板块</t>
        </is>
      </c>
      <c r="C26" t="inlineStr">
        <is>
          <t>BK1090</t>
        </is>
      </c>
      <c r="D26" t="inlineStr">
        <is>
          <t>机器人概念</t>
        </is>
      </c>
      <c r="E26" t="inlineStr">
        <is>
          <t>机器人板块</t>
        </is>
      </c>
      <c r="F26" t="inlineStr">
        <is>
          <t>观察</t>
        </is>
      </c>
      <c r="G26" t="inlineStr">
        <is>
          <t/>
        </is>
      </c>
      <c r="H26" t="inlineStr">
        <is>
          <t/>
        </is>
      </c>
      <c r="I26" t="inlineStr">
        <is>
          <t/>
        </is>
      </c>
      <c r="J26" t="inlineStr">
        <is>
          <t/>
        </is>
      </c>
      <c r="K26" t="inlineStr">
        <is>
          <t>每周/事件触发</t>
        </is>
      </c>
      <c r="L26" t="inlineStr">
        <is>
          <t/>
        </is>
      </c>
    </row>
    <row r="27">
      <c r="A27" t="inlineStr">
        <is>
          <t>科达利</t>
        </is>
      </c>
      <c r="B27" t="inlineStr">
        <is>
          <t>股票</t>
        </is>
      </c>
      <c r="C27" t="inlineStr">
        <is>
          <t>002850</t>
        </is>
      </c>
      <c r="D27" t="inlineStr">
        <is>
          <t>科达利</t>
        </is>
      </c>
      <c r="E27" t="inlineStr">
        <is>
          <t>锂电结构件；机器人供应链待确认</t>
        </is>
      </c>
      <c r="F27" t="inlineStr">
        <is>
          <t>观察</t>
        </is>
      </c>
      <c r="G27" t="inlineStr">
        <is>
          <t/>
        </is>
      </c>
      <c r="H27" t="inlineStr">
        <is>
          <t/>
        </is>
      </c>
      <c r="I27" t="inlineStr">
        <is>
          <t/>
        </is>
      </c>
      <c r="J27" t="inlineStr">
        <is>
          <t/>
        </is>
      </c>
      <c r="K27" t="inlineStr">
        <is>
          <t>每周/事件触发</t>
        </is>
      </c>
      <c r="L27" t="inlineStr">
        <is>
          <t/>
        </is>
      </c>
    </row>
    <row r="28">
      <c r="A28" t="inlineStr">
        <is>
          <t>福赛科技</t>
        </is>
      </c>
      <c r="B28" t="inlineStr">
        <is>
          <t>股票</t>
        </is>
      </c>
      <c r="C28" t="inlineStr">
        <is>
          <t>301529</t>
        </is>
      </c>
      <c r="D28" t="inlineStr">
        <is>
          <t>福赛科技</t>
        </is>
      </c>
      <c r="E28" t="inlineStr">
        <is>
          <t>机器人/汽车零部件待确认</t>
        </is>
      </c>
      <c r="F28" t="inlineStr">
        <is>
          <t>观察</t>
        </is>
      </c>
      <c r="G28" t="inlineStr">
        <is>
          <t/>
        </is>
      </c>
      <c r="H28" t="inlineStr">
        <is>
          <t/>
        </is>
      </c>
      <c r="I28" t="inlineStr">
        <is>
          <t/>
        </is>
      </c>
      <c r="J28" t="inlineStr">
        <is>
          <t/>
        </is>
      </c>
      <c r="K28" t="inlineStr">
        <is>
          <t>每周/事件触发</t>
        </is>
      </c>
      <c r="L28" t="inlineStr">
        <is>
          <t/>
        </is>
      </c>
    </row>
    <row r="29">
      <c r="A29" t="inlineStr">
        <is>
          <t>航天电器</t>
        </is>
      </c>
      <c r="B29" t="inlineStr">
        <is>
          <t>股票</t>
        </is>
      </c>
      <c r="C29" t="inlineStr">
        <is>
          <t>002025</t>
        </is>
      </c>
      <c r="D29" t="inlineStr">
        <is>
          <t>航天电器</t>
        </is>
      </c>
      <c r="E29" t="inlineStr">
        <is>
          <t>商业航天；连接器</t>
        </is>
      </c>
      <c r="F29" t="inlineStr">
        <is>
          <t>观察</t>
        </is>
      </c>
      <c r="G29" t="inlineStr">
        <is>
          <t/>
        </is>
      </c>
      <c r="H29" t="inlineStr">
        <is>
          <t/>
        </is>
      </c>
      <c r="I29" t="inlineStr">
        <is>
          <t/>
        </is>
      </c>
      <c r="J29" t="inlineStr">
        <is>
          <t/>
        </is>
      </c>
      <c r="K29" t="inlineStr">
        <is>
          <t>每周/事件触发</t>
        </is>
      </c>
      <c r="L29" t="inlineStr">
        <is>
          <t/>
        </is>
      </c>
    </row>
    <row r="30">
      <c r="A30" t="inlineStr">
        <is>
          <t>华丰科技</t>
        </is>
      </c>
      <c r="B30" t="inlineStr">
        <is>
          <t>股票</t>
        </is>
      </c>
      <c r="C30" t="inlineStr">
        <is>
          <t>688629</t>
        </is>
      </c>
      <c r="D30" t="inlineStr">
        <is>
          <t>华丰科技</t>
        </is>
      </c>
      <c r="E30" t="inlineStr">
        <is>
          <t>华为昇腾；AI算力；高速连接器</t>
        </is>
      </c>
      <c r="F30" t="inlineStr">
        <is>
          <t>观察</t>
        </is>
      </c>
      <c r="G30" t="inlineStr">
        <is>
          <t/>
        </is>
      </c>
      <c r="H30" t="inlineStr">
        <is>
          <t/>
        </is>
      </c>
      <c r="I30" t="inlineStr">
        <is>
          <t/>
        </is>
      </c>
      <c r="J30" t="inlineStr">
        <is>
          <t/>
        </is>
      </c>
      <c r="K30" t="inlineStr">
        <is>
          <t>每周/事件触发</t>
        </is>
      </c>
      <c r="L30" t="inlineStr">
        <is>
          <t/>
        </is>
      </c>
    </row>
    <row r="31">
      <c r="A31" t="inlineStr">
        <is>
          <t>昇腾</t>
        </is>
      </c>
      <c r="B31" t="inlineStr">
        <is>
          <t>概念/板块</t>
        </is>
      </c>
      <c r="C31" t="inlineStr">
        <is>
          <t>BK0995</t>
        </is>
      </c>
      <c r="D31" t="inlineStr">
        <is>
          <t>华为昇腾</t>
        </is>
      </c>
      <c r="E31" t="inlineStr">
        <is>
          <t>华为昇腾；AI算力</t>
        </is>
      </c>
      <c r="F31" t="inlineStr">
        <is>
          <t>观察</t>
        </is>
      </c>
      <c r="G31" t="inlineStr">
        <is>
          <t/>
        </is>
      </c>
      <c r="H31" t="inlineStr">
        <is>
          <t/>
        </is>
      </c>
      <c r="I31" t="inlineStr">
        <is>
          <t/>
        </is>
      </c>
      <c r="J31" t="inlineStr">
        <is>
          <t/>
        </is>
      </c>
      <c r="K31" t="inlineStr">
        <is>
          <t>每周/事件触发</t>
        </is>
      </c>
      <c r="L31" t="inlineStr">
        <is>
          <t/>
        </is>
      </c>
    </row>
    <row r="32">
      <c r="A32" t="inlineStr">
        <is>
          <t>杭电股份</t>
        </is>
      </c>
      <c r="B32" t="inlineStr">
        <is>
          <t>股票</t>
        </is>
      </c>
      <c r="C32" t="inlineStr">
        <is>
          <t>603618</t>
        </is>
      </c>
      <c r="D32" t="inlineStr">
        <is>
          <t>杭电股份</t>
        </is>
      </c>
      <c r="E32" t="inlineStr">
        <is>
          <t>AI算力；铜缆高速连接；电线电缆</t>
        </is>
      </c>
      <c r="F32" t="inlineStr">
        <is>
          <t>观察</t>
        </is>
      </c>
      <c r="G32" t="inlineStr">
        <is>
          <t/>
        </is>
      </c>
      <c r="H32" t="inlineStr">
        <is>
          <t/>
        </is>
      </c>
      <c r="I32" t="inlineStr">
        <is>
          <t/>
        </is>
      </c>
      <c r="J32" t="inlineStr">
        <is>
          <t/>
        </is>
      </c>
      <c r="K32" t="inlineStr">
        <is>
          <t>每周/事件触发</t>
        </is>
      </c>
      <c r="L32" t="inlineStr">
        <is>
          <t/>
        </is>
      </c>
    </row>
    <row r="33">
      <c r="A33" t="inlineStr">
        <is>
          <t>海南海药</t>
        </is>
      </c>
      <c r="B33" t="inlineStr">
        <is>
          <t>股票</t>
        </is>
      </c>
      <c r="C33" t="inlineStr">
        <is>
          <t>000566</t>
        </is>
      </c>
      <c r="D33" t="inlineStr">
        <is>
          <t>海南海药</t>
        </is>
      </c>
      <c r="E33" t="inlineStr">
        <is>
          <t>医药</t>
        </is>
      </c>
      <c r="F33" t="inlineStr">
        <is>
          <t>观察</t>
        </is>
      </c>
      <c r="G33" t="inlineStr">
        <is>
          <t/>
        </is>
      </c>
      <c r="H33" t="inlineStr">
        <is>
          <t/>
        </is>
      </c>
      <c r="I33" t="inlineStr">
        <is>
          <t/>
        </is>
      </c>
      <c r="J33" t="inlineStr">
        <is>
          <t/>
        </is>
      </c>
      <c r="K33" t="inlineStr">
        <is>
          <t>每周/事件触发</t>
        </is>
      </c>
      <c r="L33" t="inlineStr">
        <is>
          <t/>
        </is>
      </c>
    </row>
    <row r="34">
      <c r="A34" t="inlineStr">
        <is>
          <t>中石科技</t>
        </is>
      </c>
      <c r="B34" t="inlineStr">
        <is>
          <t>股票</t>
        </is>
      </c>
      <c r="C34" t="inlineStr">
        <is>
          <t>300684</t>
        </is>
      </c>
      <c r="D34" t="inlineStr">
        <is>
          <t>中石科技</t>
        </is>
      </c>
      <c r="E34" t="inlineStr">
        <is>
          <t>AI算力；散热材料；消费电子</t>
        </is>
      </c>
      <c r="F34" t="inlineStr">
        <is>
          <t>观察</t>
        </is>
      </c>
      <c r="G34" t="inlineStr">
        <is>
          <t/>
        </is>
      </c>
      <c r="H34" t="inlineStr">
        <is>
          <t/>
        </is>
      </c>
      <c r="I34" t="inlineStr">
        <is>
          <t/>
        </is>
      </c>
      <c r="J34" t="inlineStr">
        <is>
          <t/>
        </is>
      </c>
      <c r="K34" t="inlineStr">
        <is>
          <t>每周/事件触发</t>
        </is>
      </c>
      <c r="L34" t="inlineStr">
        <is>
          <t/>
        </is>
      </c>
    </row>
    <row r="35">
      <c r="A35" t="inlineStr">
        <is>
          <t>申菱</t>
        </is>
      </c>
      <c r="B35" t="inlineStr">
        <is>
          <t>股票</t>
        </is>
      </c>
      <c r="C35" t="inlineStr">
        <is>
          <t>301018</t>
        </is>
      </c>
      <c r="D35" t="inlineStr">
        <is>
          <t>申菱环境</t>
        </is>
      </c>
      <c r="E35" t="inlineStr">
        <is>
          <t>AI算力；数据中心温控；液冷</t>
        </is>
      </c>
      <c r="F35" t="inlineStr">
        <is>
          <t>观察</t>
        </is>
      </c>
      <c r="G35" t="inlineStr">
        <is>
          <t/>
        </is>
      </c>
      <c r="H35" t="inlineStr">
        <is>
          <t/>
        </is>
      </c>
      <c r="I35" t="inlineStr">
        <is>
          <t/>
        </is>
      </c>
      <c r="J35" t="inlineStr">
        <is>
          <t/>
        </is>
      </c>
      <c r="K35" t="inlineStr">
        <is>
          <t>每周/事件触发</t>
        </is>
      </c>
      <c r="L35" t="inlineStr">
        <is>
          <t/>
        </is>
      </c>
    </row>
    <row r="36">
      <c r="A36" t="inlineStr">
        <is>
          <t>501096</t>
        </is>
      </c>
      <c r="B36" t="inlineStr">
        <is>
          <t>基金</t>
        </is>
      </c>
      <c r="C36" t="inlineStr">
        <is>
          <t>501096</t>
        </is>
      </c>
      <c r="D36" t="inlineStr">
        <is>
          <t>国联安科创LOF</t>
        </is>
      </c>
      <c r="E36" t="inlineStr">
        <is>
          <t>基金</t>
        </is>
      </c>
      <c r="F36" t="inlineStr">
        <is>
          <t>观察</t>
        </is>
      </c>
      <c r="G36" t="inlineStr">
        <is>
          <t/>
        </is>
      </c>
      <c r="H36" t="inlineStr">
        <is>
          <t/>
        </is>
      </c>
      <c r="I36" t="inlineStr">
        <is>
          <t/>
        </is>
      </c>
      <c r="J36" t="inlineStr">
        <is>
          <t/>
        </is>
      </c>
      <c r="K36" t="inlineStr">
        <is>
          <t>每周/事件触发</t>
        </is>
      </c>
      <c r="L36" t="inlineStr">
        <is>
          <t/>
        </is>
      </c>
    </row>
    <row r="37">
      <c r="A37" t="inlineStr">
        <is>
          <t>中际旭创</t>
        </is>
      </c>
      <c r="B37" t="inlineStr">
        <is>
          <t>股票</t>
        </is>
      </c>
      <c r="C37" t="inlineStr">
        <is>
          <t>300308</t>
        </is>
      </c>
      <c r="D37" t="inlineStr">
        <is>
          <t>中际旭创</t>
        </is>
      </c>
      <c r="E37" t="inlineStr">
        <is>
          <t>AI算力；CPO；光模块</t>
        </is>
      </c>
      <c r="F37" t="inlineStr">
        <is>
          <t>观察</t>
        </is>
      </c>
      <c r="G37" t="inlineStr">
        <is>
          <t/>
        </is>
      </c>
      <c r="H37" t="inlineStr">
        <is>
          <t/>
        </is>
      </c>
      <c r="I37" t="inlineStr">
        <is>
          <t/>
        </is>
      </c>
      <c r="J37" t="inlineStr">
        <is>
          <t/>
        </is>
      </c>
      <c r="K37" t="inlineStr">
        <is>
          <t>每周/事件触发</t>
        </is>
      </c>
      <c r="L37" t="inlineStr">
        <is>
          <t/>
        </is>
      </c>
    </row>
    <row r="38">
      <c r="A38" t="inlineStr">
        <is>
          <t>新易盛</t>
        </is>
      </c>
      <c r="B38" t="inlineStr">
        <is>
          <t>股票</t>
        </is>
      </c>
      <c r="C38" t="inlineStr">
        <is>
          <t>300502</t>
        </is>
      </c>
      <c r="D38" t="inlineStr">
        <is>
          <t>新易盛</t>
        </is>
      </c>
      <c r="E38" t="inlineStr">
        <is>
          <t>AI算力；CPO；光模块</t>
        </is>
      </c>
      <c r="F38" t="inlineStr">
        <is>
          <t>观察</t>
        </is>
      </c>
      <c r="G38" t="inlineStr">
        <is>
          <t/>
        </is>
      </c>
      <c r="H38" t="inlineStr">
        <is>
          <t/>
        </is>
      </c>
      <c r="I38" t="inlineStr">
        <is>
          <t/>
        </is>
      </c>
      <c r="J38" t="inlineStr">
        <is>
          <t/>
        </is>
      </c>
      <c r="K38" t="inlineStr">
        <is>
          <t>每周/事件触发</t>
        </is>
      </c>
      <c r="L38" t="inlineStr">
        <is>
          <t/>
        </is>
      </c>
    </row>
    <row r="39">
      <c r="A39" t="inlineStr">
        <is>
          <t>兆易创新</t>
        </is>
      </c>
      <c r="B39" t="inlineStr">
        <is>
          <t>股票</t>
        </is>
      </c>
      <c r="C39" t="inlineStr">
        <is>
          <t>603986</t>
        </is>
      </c>
      <c r="D39" t="inlineStr">
        <is>
          <t>兆易创新</t>
        </is>
      </c>
      <c r="E39" t="inlineStr">
        <is>
          <t>存储；半导体；MCU</t>
        </is>
      </c>
      <c r="F39" t="inlineStr">
        <is>
          <t>观察</t>
        </is>
      </c>
      <c r="G39" t="inlineStr">
        <is>
          <t/>
        </is>
      </c>
      <c r="H39" t="inlineStr">
        <is>
          <t/>
        </is>
      </c>
      <c r="I39" t="inlineStr">
        <is>
          <t/>
        </is>
      </c>
      <c r="J39" t="inlineStr">
        <is>
          <t/>
        </is>
      </c>
      <c r="K39" t="inlineStr">
        <is>
          <t>每周/事件触发</t>
        </is>
      </c>
      <c r="L39" t="inlineStr">
        <is>
          <t/>
        </is>
      </c>
    </row>
    <row r="40">
      <c r="A40" t="inlineStr">
        <is>
          <t>珂玛科技</t>
        </is>
      </c>
      <c r="B40" t="inlineStr">
        <is>
          <t>股票</t>
        </is>
      </c>
      <c r="C40" t="inlineStr">
        <is>
          <t>301611</t>
        </is>
      </c>
      <c r="D40" t="inlineStr">
        <is>
          <t>珂玛科技</t>
        </is>
      </c>
      <c r="E40" t="inlineStr">
        <is>
          <t>半导体材料；先进陶瓷</t>
        </is>
      </c>
      <c r="F40" t="inlineStr">
        <is>
          <t>观察</t>
        </is>
      </c>
      <c r="G40" t="inlineStr">
        <is>
          <t/>
        </is>
      </c>
      <c r="H40" t="inlineStr">
        <is>
          <t/>
        </is>
      </c>
      <c r="I40" t="inlineStr">
        <is>
          <t/>
        </is>
      </c>
      <c r="J40" t="inlineStr">
        <is>
          <t/>
        </is>
      </c>
      <c r="K40" t="inlineStr">
        <is>
          <t>每周/事件触发</t>
        </is>
      </c>
      <c r="L40" t="inlineStr">
        <is>
          <t/>
        </is>
      </c>
    </row>
    <row r="41">
      <c r="A41" t="inlineStr">
        <is>
          <t>大族激光</t>
        </is>
      </c>
      <c r="B41" t="inlineStr">
        <is>
          <t>股票</t>
        </is>
      </c>
      <c r="C41" t="inlineStr">
        <is>
          <t>002008</t>
        </is>
      </c>
      <c r="D41" t="inlineStr">
        <is>
          <t>大族激光</t>
        </is>
      </c>
      <c r="E41" t="inlineStr">
        <is>
          <t>机器人；智能制造；激光设备</t>
        </is>
      </c>
      <c r="F41" t="inlineStr">
        <is>
          <t>观察</t>
        </is>
      </c>
      <c r="G41" t="inlineStr">
        <is>
          <t/>
        </is>
      </c>
      <c r="H41" t="inlineStr">
        <is>
          <t/>
        </is>
      </c>
      <c r="I41" t="inlineStr">
        <is>
          <t/>
        </is>
      </c>
      <c r="J41" t="inlineStr">
        <is>
          <t/>
        </is>
      </c>
      <c r="K41" t="inlineStr">
        <is>
          <t>每周/事件触发</t>
        </is>
      </c>
      <c r="L41" t="inlineStr">
        <is>
          <t/>
        </is>
      </c>
    </row>
    <row r="42">
      <c r="A42" t="inlineStr">
        <is>
          <t>达实智能</t>
        </is>
      </c>
      <c r="B42" t="inlineStr">
        <is>
          <t>股票</t>
        </is>
      </c>
      <c r="C42" t="inlineStr">
        <is>
          <t>002421</t>
        </is>
      </c>
      <c r="D42" t="inlineStr">
        <is>
          <t>达实智能</t>
        </is>
      </c>
      <c r="E42" t="inlineStr">
        <is>
          <t>机器人；智能建筑；物联网</t>
        </is>
      </c>
      <c r="F42" t="inlineStr">
        <is>
          <t>观察</t>
        </is>
      </c>
      <c r="G42" t="inlineStr">
        <is>
          <t/>
        </is>
      </c>
      <c r="H42" t="inlineStr">
        <is>
          <t/>
        </is>
      </c>
      <c r="I42" t="inlineStr">
        <is>
          <t/>
        </is>
      </c>
      <c r="J42" t="inlineStr">
        <is>
          <t/>
        </is>
      </c>
      <c r="K42" t="inlineStr">
        <is>
          <t>每周/事件触发</t>
        </is>
      </c>
      <c r="L42" t="inlineStr">
        <is>
          <t/>
        </is>
      </c>
    </row>
    <row r="43">
      <c r="A43" t="inlineStr">
        <is>
          <t>奕东电子</t>
        </is>
      </c>
      <c r="B43" t="inlineStr">
        <is>
          <t>股票</t>
        </is>
      </c>
      <c r="C43" t="inlineStr">
        <is>
          <t>301123</t>
        </is>
      </c>
      <c r="D43" t="inlineStr">
        <is>
          <t>奕东电子</t>
        </is>
      </c>
      <c r="E43" t="inlineStr">
        <is>
          <t>电子元件；连接器；FPC</t>
        </is>
      </c>
      <c r="F43" t="inlineStr">
        <is>
          <t>观察</t>
        </is>
      </c>
      <c r="G43" t="inlineStr">
        <is>
          <t/>
        </is>
      </c>
      <c r="H43" t="inlineStr">
        <is>
          <t/>
        </is>
      </c>
      <c r="I43" t="inlineStr">
        <is>
          <t/>
        </is>
      </c>
      <c r="J43" t="inlineStr">
        <is>
          <t/>
        </is>
      </c>
      <c r="K43" t="inlineStr">
        <is>
          <t>每周/事件触发</t>
        </is>
      </c>
      <c r="L43" t="inlineStr">
        <is>
          <t/>
        </is>
      </c>
    </row>
    <row r="44">
      <c r="A44" t="inlineStr">
        <is>
          <t>鼎龙股份</t>
        </is>
      </c>
      <c r="B44" t="inlineStr">
        <is>
          <t>股票</t>
        </is>
      </c>
      <c r="C44" t="inlineStr">
        <is>
          <t>300054</t>
        </is>
      </c>
      <c r="D44" t="inlineStr">
        <is>
          <t>鼎龙股份</t>
        </is>
      </c>
      <c r="E44" t="inlineStr">
        <is>
          <t>半导体材料；CMP抛光材料</t>
        </is>
      </c>
      <c r="F44" t="inlineStr">
        <is>
          <t>观察</t>
        </is>
      </c>
      <c r="G44" t="inlineStr">
        <is>
          <t/>
        </is>
      </c>
      <c r="H44" t="inlineStr">
        <is>
          <t/>
        </is>
      </c>
      <c r="I44" t="inlineStr">
        <is>
          <t/>
        </is>
      </c>
      <c r="J44" t="inlineStr">
        <is>
          <t/>
        </is>
      </c>
      <c r="K44" t="inlineStr">
        <is>
          <t>每周/事件触发</t>
        </is>
      </c>
      <c r="L44" t="inlineStr">
        <is>
          <t/>
        </is>
      </c>
    </row>
    <row r="45">
      <c r="A45" t="inlineStr">
        <is>
          <t>超捷股份</t>
        </is>
      </c>
      <c r="B45" t="inlineStr">
        <is>
          <t>股票</t>
        </is>
      </c>
      <c r="C45" t="inlineStr">
        <is>
          <t>301005</t>
        </is>
      </c>
      <c r="D45" t="inlineStr">
        <is>
          <t>超捷股份</t>
        </is>
      </c>
      <c r="E45" t="inlineStr">
        <is>
          <t>机器人；汽车零部件；商业航天待确认</t>
        </is>
      </c>
      <c r="F45" t="inlineStr">
        <is>
          <t>观察</t>
        </is>
      </c>
      <c r="G45" t="inlineStr">
        <is>
          <t/>
        </is>
      </c>
      <c r="H45" t="inlineStr">
        <is>
          <t/>
        </is>
      </c>
      <c r="I45" t="inlineStr">
        <is>
          <t/>
        </is>
      </c>
      <c r="J45" t="inlineStr">
        <is>
          <t/>
        </is>
      </c>
      <c r="K45" t="inlineStr">
        <is>
          <t>每周/事件触发</t>
        </is>
      </c>
      <c r="L45" t="inlineStr">
        <is>
          <t/>
        </is>
      </c>
    </row>
    <row r="46">
      <c r="A46" t="inlineStr">
        <is>
          <t>晶瑞电材料</t>
        </is>
      </c>
      <c r="B46" t="inlineStr">
        <is>
          <t>股票</t>
        </is>
      </c>
      <c r="C46" t="inlineStr">
        <is>
          <t>300655</t>
        </is>
      </c>
      <c r="D46" t="inlineStr">
        <is>
          <t>晶瑞电材</t>
        </is>
      </c>
      <c r="E46" t="inlineStr">
        <is>
          <t>电子化学品；光刻胶；半导体材料</t>
        </is>
      </c>
      <c r="F46" t="inlineStr">
        <is>
          <t>观察</t>
        </is>
      </c>
      <c r="G46" t="inlineStr">
        <is>
          <t/>
        </is>
      </c>
      <c r="H46" t="inlineStr">
        <is>
          <t/>
        </is>
      </c>
      <c r="I46" t="inlineStr">
        <is>
          <t/>
        </is>
      </c>
      <c r="J46" t="inlineStr">
        <is>
          <t/>
        </is>
      </c>
      <c r="K46" t="inlineStr">
        <is>
          <t>每周/事件触发</t>
        </is>
      </c>
      <c r="L46" t="inlineStr">
        <is>
          <t/>
        </is>
      </c>
    </row>
    <row r="47">
      <c r="A47" t="inlineStr">
        <is>
          <t>旭光电子</t>
        </is>
      </c>
      <c r="B47" t="inlineStr">
        <is>
          <t>股票</t>
        </is>
      </c>
      <c r="C47" t="inlineStr">
        <is>
          <t>600353</t>
        </is>
      </c>
      <c r="D47" t="inlineStr">
        <is>
          <t>旭光电子</t>
        </is>
      </c>
      <c r="E47" t="inlineStr">
        <is>
          <t>电子元件；真空器件；陶瓷材料</t>
        </is>
      </c>
      <c r="F47" t="inlineStr">
        <is>
          <t>观察</t>
        </is>
      </c>
      <c r="G47" t="inlineStr">
        <is>
          <t/>
        </is>
      </c>
      <c r="H47" t="inlineStr">
        <is>
          <t/>
        </is>
      </c>
      <c r="I47" t="inlineStr">
        <is>
          <t/>
        </is>
      </c>
      <c r="J47" t="inlineStr">
        <is>
          <t/>
        </is>
      </c>
      <c r="K47" t="inlineStr">
        <is>
          <t>每周/事件触发</t>
        </is>
      </c>
      <c r="L47" t="inlineStr">
        <is>
          <t/>
        </is>
      </c>
    </row>
    <row r="48">
      <c r="A48" t="inlineStr">
        <is>
          <t>ST华谊</t>
        </is>
      </c>
      <c r="B48" t="inlineStr">
        <is>
          <t>股票</t>
        </is>
      </c>
      <c r="C48" t="inlineStr">
        <is>
          <t>300027</t>
        </is>
      </c>
      <c r="D48" t="inlineStr">
        <is>
          <t>ST华谊</t>
        </is>
      </c>
      <c r="E48" t="inlineStr">
        <is>
          <t>待确认</t>
        </is>
      </c>
      <c r="F48" t="inlineStr">
        <is>
          <t>观察</t>
        </is>
      </c>
      <c r="G48" t="inlineStr">
        <is>
          <t/>
        </is>
      </c>
      <c r="H48" t="inlineStr">
        <is>
          <t/>
        </is>
      </c>
      <c r="I48" t="inlineStr">
        <is>
          <t/>
        </is>
      </c>
      <c r="J48" t="inlineStr">
        <is>
          <t/>
        </is>
      </c>
      <c r="K48" t="inlineStr">
        <is>
          <t>每周/事件触发</t>
        </is>
      </c>
      <c r="L48" t="inlineStr">
        <is>
          <t/>
        </is>
      </c>
    </row>
    <row r="49">
      <c r="A49" t="inlineStr">
        <is>
          <t>玻璃基板板块</t>
        </is>
      </c>
      <c r="B49" t="inlineStr">
        <is>
          <t>概念/板块</t>
        </is>
      </c>
      <c r="C49" t="inlineStr">
        <is>
          <t>BK1175</t>
        </is>
      </c>
      <c r="D49" t="inlineStr">
        <is>
          <t>玻璃基板</t>
        </is>
      </c>
      <c r="E49" t="inlineStr">
        <is>
          <t>玻璃基板板块</t>
        </is>
      </c>
      <c r="F49" t="inlineStr">
        <is>
          <t>观察</t>
        </is>
      </c>
      <c r="G49" t="inlineStr">
        <is>
          <t/>
        </is>
      </c>
      <c r="H49" t="inlineStr">
        <is>
          <t/>
        </is>
      </c>
      <c r="I49" t="inlineStr">
        <is>
          <t/>
        </is>
      </c>
      <c r="J49" t="inlineStr">
        <is>
          <t/>
        </is>
      </c>
      <c r="K49" t="inlineStr">
        <is>
          <t>每周/事件触发</t>
        </is>
      </c>
      <c r="L49" t="inlineStr">
        <is>
          <t/>
        </is>
      </c>
    </row>
    <row r="50">
      <c r="A50" t="inlineStr">
        <is>
          <t>凯盛</t>
        </is>
      </c>
      <c r="B50" t="inlineStr">
        <is>
          <t>股票</t>
        </is>
      </c>
      <c r="C50" t="inlineStr">
        <is>
          <t>600552</t>
        </is>
      </c>
      <c r="D50" t="inlineStr">
        <is>
          <t>凯盛科技</t>
        </is>
      </c>
      <c r="E50" t="inlineStr">
        <is>
          <t>玻璃基板；显示材料</t>
        </is>
      </c>
      <c r="F50" t="inlineStr">
        <is>
          <t>观察</t>
        </is>
      </c>
      <c r="G50" t="inlineStr">
        <is>
          <t/>
        </is>
      </c>
      <c r="H50" t="inlineStr">
        <is>
          <t/>
        </is>
      </c>
      <c r="I50" t="inlineStr">
        <is>
          <t/>
        </is>
      </c>
      <c r="J50" t="inlineStr">
        <is>
          <t/>
        </is>
      </c>
      <c r="K50" t="inlineStr">
        <is>
          <t>每周/事件触发</t>
        </is>
      </c>
      <c r="L50" t="inlineStr">
        <is>
          <t/>
        </is>
      </c>
    </row>
    <row r="51">
      <c r="A51" t="inlineStr">
        <is>
          <t>璞泰来</t>
        </is>
      </c>
      <c r="B51" t="inlineStr">
        <is>
          <t>股票</t>
        </is>
      </c>
      <c r="C51" t="inlineStr">
        <is>
          <t>603659</t>
        </is>
      </c>
      <c r="D51" t="inlineStr">
        <is>
          <t>璞泰来</t>
        </is>
      </c>
      <c r="E51" t="inlineStr">
        <is>
          <t>锂电材料；负极材料；涂覆隔膜</t>
        </is>
      </c>
      <c r="F51" t="inlineStr">
        <is>
          <t>观察</t>
        </is>
      </c>
      <c r="G51" t="inlineStr">
        <is>
          <t/>
        </is>
      </c>
      <c r="H51" t="inlineStr">
        <is>
          <t/>
        </is>
      </c>
      <c r="I51" t="inlineStr">
        <is>
          <t/>
        </is>
      </c>
      <c r="J51" t="inlineStr">
        <is>
          <t/>
        </is>
      </c>
      <c r="K51" t="inlineStr">
        <is>
          <t>每周/事件触发</t>
        </is>
      </c>
      <c r="L51" t="inlineStr">
        <is>
          <t/>
        </is>
      </c>
    </row>
    <row r="52">
      <c r="A52" t="inlineStr">
        <is>
          <t>电子布</t>
        </is>
      </c>
      <c r="B52" t="inlineStr">
        <is>
          <t>概念/板块</t>
        </is>
      </c>
      <c r="C52" t="inlineStr">
        <is>
          <t>CUSTOM_电子布</t>
        </is>
      </c>
      <c r="D52" t="inlineStr">
        <is>
          <t>电子布</t>
        </is>
      </c>
      <c r="E52" t="inlineStr">
        <is>
          <t>电子布；PCB材料</t>
        </is>
      </c>
      <c r="F52" t="inlineStr">
        <is>
          <t>观察</t>
        </is>
      </c>
      <c r="G52" t="inlineStr">
        <is>
          <t/>
        </is>
      </c>
      <c r="H52" t="inlineStr">
        <is>
          <t/>
        </is>
      </c>
      <c r="I52" t="inlineStr">
        <is>
          <t/>
        </is>
      </c>
      <c r="J52" t="inlineStr">
        <is>
          <t/>
        </is>
      </c>
      <c r="K52" t="inlineStr">
        <is>
          <t>每周/事件触发</t>
        </is>
      </c>
      <c r="L52" t="inlineStr">
        <is>
          <t/>
        </is>
      </c>
    </row>
    <row r="53">
      <c r="A53" t="inlineStr">
        <is>
          <t>泰嘉股份</t>
        </is>
      </c>
      <c r="B53" t="inlineStr">
        <is>
          <t>股票</t>
        </is>
      </c>
      <c r="C53" t="inlineStr">
        <is>
          <t>002843</t>
        </is>
      </c>
      <c r="D53" t="inlineStr">
        <is>
          <t>泰嘉股份</t>
        </is>
      </c>
      <c r="E53" t="inlineStr">
        <is>
          <t>电子布/PCB待确认；先进制造</t>
        </is>
      </c>
      <c r="F53" t="inlineStr">
        <is>
          <t>观察</t>
        </is>
      </c>
      <c r="G53" t="inlineStr">
        <is>
          <t/>
        </is>
      </c>
      <c r="H53" t="inlineStr">
        <is>
          <t/>
        </is>
      </c>
      <c r="I53" t="inlineStr">
        <is>
          <t/>
        </is>
      </c>
      <c r="J53" t="inlineStr">
        <is>
          <t/>
        </is>
      </c>
      <c r="K53" t="inlineStr">
        <is>
          <t>每周/事件触发</t>
        </is>
      </c>
      <c r="L53" t="inlineStr">
        <is>
          <t/>
        </is>
      </c>
    </row>
    <row r="54">
      <c r="A54" t="inlineStr">
        <is>
          <t>绿地谐波</t>
        </is>
      </c>
      <c r="B54" t="inlineStr">
        <is>
          <t>股票</t>
        </is>
      </c>
      <c r="C54" t="inlineStr">
        <is>
          <t>688017</t>
        </is>
      </c>
      <c r="D54" t="inlineStr">
        <is>
          <t>绿的谐波</t>
        </is>
      </c>
      <c r="E54" t="inlineStr">
        <is>
          <t>机器人；谐波减速器；人形机器人</t>
        </is>
      </c>
      <c r="F54" t="inlineStr">
        <is>
          <t>观察</t>
        </is>
      </c>
      <c r="G54" t="inlineStr">
        <is>
          <t/>
        </is>
      </c>
      <c r="H54" t="inlineStr">
        <is>
          <t/>
        </is>
      </c>
      <c r="I54" t="inlineStr">
        <is>
          <t/>
        </is>
      </c>
      <c r="J54" t="inlineStr">
        <is>
          <t/>
        </is>
      </c>
      <c r="K54" t="inlineStr">
        <is>
          <t>每周/事件触发</t>
        </is>
      </c>
      <c r="L54" t="inlineStr">
        <is>
          <t/>
        </is>
      </c>
    </row>
    <row r="55">
      <c r="A55" t="inlineStr">
        <is>
          <t>昊志机电</t>
        </is>
      </c>
      <c r="B55" t="inlineStr">
        <is>
          <t>股票</t>
        </is>
      </c>
      <c r="C55" t="inlineStr">
        <is>
          <t>300503</t>
        </is>
      </c>
      <c r="D55" t="inlineStr">
        <is>
          <t>昊志机电</t>
        </is>
      </c>
      <c r="E55" t="inlineStr">
        <is>
          <t>机器人；电主轴；伺服系统；工业母机</t>
        </is>
      </c>
      <c r="F55" t="inlineStr">
        <is>
          <t>观察</t>
        </is>
      </c>
      <c r="G55" t="inlineStr">
        <is>
          <t/>
        </is>
      </c>
      <c r="H55" t="inlineStr">
        <is>
          <t/>
        </is>
      </c>
      <c r="I55" t="inlineStr">
        <is>
          <t/>
        </is>
      </c>
      <c r="J55" t="inlineStr">
        <is>
          <t/>
        </is>
      </c>
      <c r="K55" t="inlineStr">
        <is>
          <t>每周/事件触发</t>
        </is>
      </c>
      <c r="L55" t="inlineStr">
        <is>
          <t/>
        </is>
      </c>
    </row>
    <row r="56">
      <c r="A56" t="inlineStr">
        <is>
          <t>信立泰</t>
        </is>
      </c>
      <c r="B56" t="inlineStr">
        <is>
          <t>股票</t>
        </is>
      </c>
      <c r="C56" t="inlineStr">
        <is>
          <t>002294</t>
        </is>
      </c>
      <c r="D56" t="inlineStr">
        <is>
          <t>信立泰</t>
        </is>
      </c>
      <c r="E56" t="inlineStr">
        <is>
          <t>医药；创新药；心血管药物</t>
        </is>
      </c>
      <c r="F56" t="inlineStr">
        <is>
          <t>观察</t>
        </is>
      </c>
      <c r="G56" t="inlineStr">
        <is>
          <t/>
        </is>
      </c>
      <c r="H56" t="inlineStr">
        <is>
          <t/>
        </is>
      </c>
      <c r="I56" t="inlineStr">
        <is>
          <t/>
        </is>
      </c>
      <c r="J56" t="inlineStr">
        <is>
          <t/>
        </is>
      </c>
      <c r="K56" t="inlineStr">
        <is>
          <t>每周/事件触发</t>
        </is>
      </c>
      <c r="L56" t="inlineStr">
        <is>
          <t/>
        </is>
      </c>
    </row>
    <row r="57">
      <c r="A57" t="inlineStr">
        <is>
          <t>图片提炼：新莱应材</t>
        </is>
      </c>
      <c r="B57" t="inlineStr">
        <is>
          <t>股票</t>
        </is>
      </c>
      <c r="C57" t="inlineStr">
        <is>
          <t>300260</t>
        </is>
      </c>
      <c r="D57" t="inlineStr">
        <is>
          <t>新莱应材</t>
        </is>
      </c>
      <c r="E57" t="inlineStr">
        <is>
          <t>半导体设备；洁净材料；高纯工艺系统</t>
        </is>
      </c>
      <c r="F57" t="inlineStr">
        <is>
          <t>观察</t>
        </is>
      </c>
      <c r="G57" t="inlineStr">
        <is>
          <t/>
        </is>
      </c>
      <c r="H57" t="inlineStr">
        <is>
          <t/>
        </is>
      </c>
      <c r="I57" t="inlineStr">
        <is>
          <t/>
        </is>
      </c>
      <c r="J57" t="inlineStr">
        <is>
          <t/>
        </is>
      </c>
      <c r="K57" t="inlineStr">
        <is>
          <t>每周/事件触发</t>
        </is>
      </c>
      <c r="L57" t="inlineStr">
        <is>
          <t/>
        </is>
      </c>
    </row>
    <row r="58">
      <c r="A58" t="inlineStr">
        <is>
          <t>图片提炼：鸿富瀚</t>
        </is>
      </c>
      <c r="B58" t="inlineStr">
        <is>
          <t>股票</t>
        </is>
      </c>
      <c r="C58" t="inlineStr">
        <is>
          <t>301086</t>
        </is>
      </c>
      <c r="D58" t="inlineStr">
        <is>
          <t>鸿富瀚</t>
        </is>
      </c>
      <c r="E58" t="inlineStr">
        <is>
          <t>消费电子；AI硬件；功能性材料</t>
        </is>
      </c>
      <c r="F58" t="inlineStr">
        <is>
          <t>观察</t>
        </is>
      </c>
      <c r="G58" t="inlineStr">
        <is>
          <t/>
        </is>
      </c>
      <c r="H58" t="inlineStr">
        <is>
          <t/>
        </is>
      </c>
      <c r="I58" t="inlineStr">
        <is>
          <t/>
        </is>
      </c>
      <c r="J58" t="inlineStr">
        <is>
          <t/>
        </is>
      </c>
      <c r="K58" t="inlineStr">
        <is>
          <t>每周/事件触发</t>
        </is>
      </c>
      <c r="L58" t="inlineStr">
        <is>
          <t/>
        </is>
      </c>
    </row>
    <row r="59">
      <c r="A59" t="inlineStr">
        <is>
          <t>图片提炼：伟测科技</t>
        </is>
      </c>
      <c r="B59" t="inlineStr">
        <is>
          <t>股票</t>
        </is>
      </c>
      <c r="C59" t="inlineStr">
        <is>
          <t>688372</t>
        </is>
      </c>
      <c r="D59" t="inlineStr">
        <is>
          <t>伟测科技</t>
        </is>
      </c>
      <c r="E59" t="inlineStr">
        <is>
          <t>半导体测试；先进封测</t>
        </is>
      </c>
      <c r="F59" t="inlineStr">
        <is>
          <t>观察</t>
        </is>
      </c>
      <c r="G59" t="inlineStr">
        <is>
          <t/>
        </is>
      </c>
      <c r="H59" t="inlineStr">
        <is>
          <t/>
        </is>
      </c>
      <c r="I59" t="inlineStr">
        <is>
          <t/>
        </is>
      </c>
      <c r="J59" t="inlineStr">
        <is>
          <t/>
        </is>
      </c>
      <c r="K59" t="inlineStr">
        <is>
          <t>每周/事件触发</t>
        </is>
      </c>
      <c r="L59" t="inlineStr">
        <is>
          <t/>
        </is>
      </c>
    </row>
    <row r="60">
      <c r="A60" t="inlineStr">
        <is>
          <t>图片提炼：长川科技</t>
        </is>
      </c>
      <c r="B60" t="inlineStr">
        <is>
          <t>股票</t>
        </is>
      </c>
      <c r="C60" t="inlineStr">
        <is>
          <t>300604</t>
        </is>
      </c>
      <c r="D60" t="inlineStr">
        <is>
          <t>长川科技</t>
        </is>
      </c>
      <c r="E60" t="inlineStr">
        <is>
          <t>半导体设备；测试设备</t>
        </is>
      </c>
      <c r="F60" t="inlineStr">
        <is>
          <t>观察</t>
        </is>
      </c>
      <c r="G60" t="inlineStr">
        <is>
          <t/>
        </is>
      </c>
      <c r="H60" t="inlineStr">
        <is>
          <t/>
        </is>
      </c>
      <c r="I60" t="inlineStr">
        <is>
          <t/>
        </is>
      </c>
      <c r="J60" t="inlineStr">
        <is>
          <t/>
        </is>
      </c>
      <c r="K60" t="inlineStr">
        <is>
          <t>每周/事件触发</t>
        </is>
      </c>
      <c r="L60" t="inlineStr">
        <is>
          <t/>
        </is>
      </c>
    </row>
    <row r="61">
      <c r="A61" t="inlineStr">
        <is>
          <t>图片提炼：京仪装备</t>
        </is>
      </c>
      <c r="B61" t="inlineStr">
        <is>
          <t>股票</t>
        </is>
      </c>
      <c r="C61" t="inlineStr">
        <is>
          <t>688652</t>
        </is>
      </c>
      <c r="D61" t="inlineStr">
        <is>
          <t>京仪装备</t>
        </is>
      </c>
      <c r="E61" t="inlineStr">
        <is>
          <t>半导体设备；真空装备</t>
        </is>
      </c>
      <c r="F61" t="inlineStr">
        <is>
          <t>观察</t>
        </is>
      </c>
      <c r="G61" t="inlineStr">
        <is>
          <t/>
        </is>
      </c>
      <c r="H61" t="inlineStr">
        <is>
          <t/>
        </is>
      </c>
      <c r="I61" t="inlineStr">
        <is>
          <t/>
        </is>
      </c>
      <c r="J61" t="inlineStr">
        <is>
          <t/>
        </is>
      </c>
      <c r="K61" t="inlineStr">
        <is>
          <t>每周/事件触发</t>
        </is>
      </c>
      <c r="L61" t="inlineStr">
        <is>
          <t/>
        </is>
      </c>
    </row>
    <row r="62">
      <c r="A62" t="inlineStr">
        <is>
          <t>图片提炼：富创精密</t>
        </is>
      </c>
      <c r="B62" t="inlineStr">
        <is>
          <t>股票</t>
        </is>
      </c>
      <c r="C62" t="inlineStr">
        <is>
          <t>688409</t>
        </is>
      </c>
      <c r="D62" t="inlineStr">
        <is>
          <t>富创精密</t>
        </is>
      </c>
      <c r="E62" t="inlineStr">
        <is>
          <t>半导体设备零部件；精密制造</t>
        </is>
      </c>
      <c r="F62" t="inlineStr">
        <is>
          <t>观察</t>
        </is>
      </c>
      <c r="G62" t="inlineStr">
        <is>
          <t/>
        </is>
      </c>
      <c r="H62" t="inlineStr">
        <is>
          <t/>
        </is>
      </c>
      <c r="I62" t="inlineStr">
        <is>
          <t/>
        </is>
      </c>
      <c r="J62" t="inlineStr">
        <is>
          <t/>
        </is>
      </c>
      <c r="K62" t="inlineStr">
        <is>
          <t>每周/事件触发</t>
        </is>
      </c>
      <c r="L62" t="inlineStr">
        <is>
          <t/>
        </is>
      </c>
    </row>
    <row r="63">
      <c r="A63" t="inlineStr">
        <is>
          <t>光刻胶板块</t>
        </is>
      </c>
      <c r="B63" t="inlineStr">
        <is>
          <t>概念/板块</t>
        </is>
      </c>
      <c r="C63" t="inlineStr">
        <is>
          <t>CUSTOM_光刻胶板块</t>
        </is>
      </c>
      <c r="D63" t="inlineStr">
        <is>
          <t>光刻胶板块</t>
        </is>
      </c>
      <c r="E63" t="inlineStr">
        <is>
          <t>光刻胶板块</t>
        </is>
      </c>
      <c r="F63" t="inlineStr">
        <is>
          <t>观察</t>
        </is>
      </c>
      <c r="G63" t="inlineStr">
        <is>
          <t/>
        </is>
      </c>
      <c r="H63" t="inlineStr">
        <is>
          <t/>
        </is>
      </c>
      <c r="I63" t="inlineStr">
        <is>
          <t/>
        </is>
      </c>
      <c r="J63" t="inlineStr">
        <is>
          <t/>
        </is>
      </c>
      <c r="K63" t="inlineStr">
        <is>
          <t>每周/事件触发</t>
        </is>
      </c>
      <c r="L63" t="inlineStr">
        <is>
          <t/>
        </is>
      </c>
    </row>
    <row r="64">
      <c r="A64" t="inlineStr">
        <is>
          <t>彤程新材</t>
        </is>
      </c>
      <c r="B64" t="inlineStr">
        <is>
          <t>股票</t>
        </is>
      </c>
      <c r="C64" t="inlineStr">
        <is>
          <t>603650</t>
        </is>
      </c>
      <c r="D64" t="inlineStr">
        <is>
          <t>彤程新材</t>
        </is>
      </c>
      <c r="E64" t="inlineStr">
        <is>
          <t>光刻胶；电子化学品；半导体材料</t>
        </is>
      </c>
      <c r="F64" t="inlineStr">
        <is>
          <t>观察</t>
        </is>
      </c>
      <c r="G64" t="inlineStr">
        <is>
          <t/>
        </is>
      </c>
      <c r="H64" t="inlineStr">
        <is>
          <t/>
        </is>
      </c>
      <c r="I64" t="inlineStr">
        <is>
          <t/>
        </is>
      </c>
      <c r="J64" t="inlineStr">
        <is>
          <t/>
        </is>
      </c>
      <c r="K64" t="inlineStr">
        <is>
          <t>每周/事件触发</t>
        </is>
      </c>
      <c r="L64" t="inlineStr">
        <is>
          <t/>
        </is>
      </c>
    </row>
    <row r="65">
      <c r="A65" t="inlineStr">
        <is>
          <t>雅克科技</t>
        </is>
      </c>
      <c r="B65" t="inlineStr">
        <is>
          <t>股票</t>
        </is>
      </c>
      <c r="C65" t="inlineStr">
        <is>
          <t>002409</t>
        </is>
      </c>
      <c r="D65" t="inlineStr">
        <is>
          <t>雅克科技</t>
        </is>
      </c>
      <c r="E65" t="inlineStr">
        <is>
          <t>光刻胶；电子化学品；半导体材料</t>
        </is>
      </c>
      <c r="F65" t="inlineStr">
        <is>
          <t>观察</t>
        </is>
      </c>
      <c r="G65" t="inlineStr">
        <is>
          <t/>
        </is>
      </c>
      <c r="H65" t="inlineStr">
        <is>
          <t/>
        </is>
      </c>
      <c r="I65" t="inlineStr">
        <is>
          <t/>
        </is>
      </c>
      <c r="J65" t="inlineStr">
        <is>
          <t/>
        </is>
      </c>
      <c r="K65" t="inlineStr">
        <is>
          <t>每周/事件触发</t>
        </is>
      </c>
      <c r="L65" t="inlineStr">
        <is>
          <t/>
        </is>
      </c>
    </row>
    <row r="66">
      <c r="A66" t="inlineStr">
        <is>
          <t>宏和</t>
        </is>
      </c>
      <c r="B66" t="inlineStr">
        <is>
          <t>股票</t>
        </is>
      </c>
      <c r="C66" t="inlineStr">
        <is>
          <t>603256</t>
        </is>
      </c>
      <c r="D66" t="inlineStr">
        <is>
          <t>宏和科技</t>
        </is>
      </c>
      <c r="E66" t="inlineStr">
        <is>
          <t>电子布；玻纤布；PCB材料</t>
        </is>
      </c>
      <c r="F66" t="inlineStr">
        <is>
          <t>观察</t>
        </is>
      </c>
      <c r="G66" t="inlineStr">
        <is>
          <t/>
        </is>
      </c>
      <c r="H66" t="inlineStr">
        <is>
          <t/>
        </is>
      </c>
      <c r="I66" t="inlineStr">
        <is>
          <t/>
        </is>
      </c>
      <c r="J66" t="inlineStr">
        <is>
          <t/>
        </is>
      </c>
      <c r="K66" t="inlineStr">
        <is>
          <t>每周/事件触发</t>
        </is>
      </c>
      <c r="L66" t="inlineStr">
        <is>
          <t/>
        </is>
      </c>
    </row>
    <row r="67">
      <c r="A67" t="inlineStr">
        <is>
          <t>巨石</t>
        </is>
      </c>
      <c r="B67" t="inlineStr">
        <is>
          <t>股票</t>
        </is>
      </c>
      <c r="C67" t="inlineStr">
        <is>
          <t>600176</t>
        </is>
      </c>
      <c r="D67" t="inlineStr">
        <is>
          <t>中国巨石</t>
        </is>
      </c>
      <c r="E67" t="inlineStr">
        <is>
          <t>电子布；玻璃纤维；PCB材料</t>
        </is>
      </c>
      <c r="F67" t="inlineStr">
        <is>
          <t>观察</t>
        </is>
      </c>
      <c r="G67" t="inlineStr">
        <is>
          <t/>
        </is>
      </c>
      <c r="H67" t="inlineStr">
        <is>
          <t/>
        </is>
      </c>
      <c r="I67" t="inlineStr">
        <is>
          <t/>
        </is>
      </c>
      <c r="J67" t="inlineStr">
        <is>
          <t/>
        </is>
      </c>
      <c r="K67" t="inlineStr">
        <is>
          <t>每周/事件触发</t>
        </is>
      </c>
      <c r="L67" t="inlineStr">
        <is>
          <t/>
        </is>
      </c>
    </row>
    <row r="68">
      <c r="A68" t="inlineStr">
        <is>
          <t>中材科技</t>
        </is>
      </c>
      <c r="B68" t="inlineStr">
        <is>
          <t>股票</t>
        </is>
      </c>
      <c r="C68" t="inlineStr">
        <is>
          <t>002080</t>
        </is>
      </c>
      <c r="D68" t="inlineStr">
        <is>
          <t>中材科技</t>
        </is>
      </c>
      <c r="E68" t="inlineStr">
        <is>
          <t>电子布；玻璃纤维；复合材料</t>
        </is>
      </c>
      <c r="F68" t="inlineStr">
        <is>
          <t>观察</t>
        </is>
      </c>
      <c r="G68" t="inlineStr">
        <is>
          <t/>
        </is>
      </c>
      <c r="H68" t="inlineStr">
        <is>
          <t/>
        </is>
      </c>
      <c r="I68" t="inlineStr">
        <is>
          <t/>
        </is>
      </c>
      <c r="J68" t="inlineStr">
        <is>
          <t/>
        </is>
      </c>
      <c r="K68" t="inlineStr">
        <is>
          <t>每周/事件触发</t>
        </is>
      </c>
      <c r="L68" t="inlineStr">
        <is>
          <t/>
        </is>
      </c>
    </row>
    <row r="69">
      <c r="A69" t="inlineStr">
        <is>
          <t>国际复材</t>
        </is>
      </c>
      <c r="B69" t="inlineStr">
        <is>
          <t>股票</t>
        </is>
      </c>
      <c r="C69" t="inlineStr">
        <is>
          <t>301526</t>
        </is>
      </c>
      <c r="D69" t="inlineStr">
        <is>
          <t>国际复材</t>
        </is>
      </c>
      <c r="E69" t="inlineStr">
        <is>
          <t>电子布；玻璃纤维；复合材料</t>
        </is>
      </c>
      <c r="F69" t="inlineStr">
        <is>
          <t>观察</t>
        </is>
      </c>
      <c r="G69" t="inlineStr">
        <is>
          <t/>
        </is>
      </c>
      <c r="H69" t="inlineStr">
        <is>
          <t/>
        </is>
      </c>
      <c r="I69" t="inlineStr">
        <is>
          <t/>
        </is>
      </c>
      <c r="J69" t="inlineStr">
        <is>
          <t/>
        </is>
      </c>
      <c r="K69" t="inlineStr">
        <is>
          <t>每周/事件触发</t>
        </is>
      </c>
      <c r="L69" t="inlineStr">
        <is>
          <t/>
        </is>
      </c>
    </row>
    <row r="70">
      <c r="A70" t="inlineStr">
        <is>
          <t>生肖概念</t>
        </is>
      </c>
      <c r="B70" t="inlineStr">
        <is>
          <t>概念/板块</t>
        </is>
      </c>
      <c r="C70" t="inlineStr">
        <is>
          <t>CUSTOM_生肖概念</t>
        </is>
      </c>
      <c r="D70" t="inlineStr">
        <is>
          <t>生肖概念</t>
        </is>
      </c>
      <c r="E70" t="inlineStr">
        <is>
          <t>生肖概念</t>
        </is>
      </c>
      <c r="F70" t="inlineStr">
        <is>
          <t>观察</t>
        </is>
      </c>
      <c r="G70" t="inlineStr">
        <is>
          <t/>
        </is>
      </c>
      <c r="H70" t="inlineStr">
        <is>
          <t/>
        </is>
      </c>
      <c r="I70" t="inlineStr">
        <is>
          <t/>
        </is>
      </c>
      <c r="J70" t="inlineStr">
        <is>
          <t/>
        </is>
      </c>
      <c r="K70" t="inlineStr">
        <is>
          <t>每周/事件触发</t>
        </is>
      </c>
      <c r="L70" t="inlineStr">
        <is>
          <t/>
        </is>
      </c>
    </row>
    <row r="71">
      <c r="A71" t="inlineStr">
        <is>
          <t>图片提炼：百洋医药</t>
        </is>
      </c>
      <c r="B71" t="inlineStr">
        <is>
          <t>股票</t>
        </is>
      </c>
      <c r="C71" t="inlineStr">
        <is>
          <t>301015</t>
        </is>
      </c>
      <c r="D71" t="inlineStr">
        <is>
          <t>百洋医药</t>
        </is>
      </c>
      <c r="E71" t="inlineStr">
        <is>
          <t>生肖概念</t>
        </is>
      </c>
      <c r="F71" t="inlineStr">
        <is>
          <t>观察</t>
        </is>
      </c>
      <c r="G71" t="inlineStr">
        <is>
          <t/>
        </is>
      </c>
      <c r="H71" t="inlineStr">
        <is>
          <t/>
        </is>
      </c>
      <c r="I71" t="inlineStr">
        <is>
          <t/>
        </is>
      </c>
      <c r="J71" t="inlineStr">
        <is>
          <t/>
        </is>
      </c>
      <c r="K71" t="inlineStr">
        <is>
          <t>每周/事件触发</t>
        </is>
      </c>
      <c r="L71" t="inlineStr">
        <is>
          <t/>
        </is>
      </c>
    </row>
    <row r="72">
      <c r="A72" t="inlineStr">
        <is>
          <t>图片提炼：天洋新材</t>
        </is>
      </c>
      <c r="B72" t="inlineStr">
        <is>
          <t>股票</t>
        </is>
      </c>
      <c r="C72" t="inlineStr">
        <is>
          <t>603330</t>
        </is>
      </c>
      <c r="D72" t="inlineStr">
        <is>
          <t>天洋新材</t>
        </is>
      </c>
      <c r="E72" t="inlineStr">
        <is>
          <t>生肖概念</t>
        </is>
      </c>
      <c r="F72" t="inlineStr">
        <is>
          <t>观察</t>
        </is>
      </c>
      <c r="G72" t="inlineStr">
        <is>
          <t/>
        </is>
      </c>
      <c r="H72" t="inlineStr">
        <is>
          <t/>
        </is>
      </c>
      <c r="I72" t="inlineStr">
        <is>
          <t/>
        </is>
      </c>
      <c r="J72" t="inlineStr">
        <is>
          <t/>
        </is>
      </c>
      <c r="K72" t="inlineStr">
        <is>
          <t>每周/事件触发</t>
        </is>
      </c>
      <c r="L72" t="inlineStr">
        <is>
          <t/>
        </is>
      </c>
    </row>
    <row r="73">
      <c r="A73" t="inlineStr">
        <is>
          <t>图片提炼：七匹狼</t>
        </is>
      </c>
      <c r="B73" t="inlineStr">
        <is>
          <t>股票</t>
        </is>
      </c>
      <c r="C73" t="inlineStr">
        <is>
          <t>002029</t>
        </is>
      </c>
      <c r="D73" t="inlineStr">
        <is>
          <t>七匹狼</t>
        </is>
      </c>
      <c r="E73" t="inlineStr">
        <is>
          <t>生肖概念</t>
        </is>
      </c>
      <c r="F73" t="inlineStr">
        <is>
          <t>观察</t>
        </is>
      </c>
      <c r="G73" t="inlineStr">
        <is>
          <t/>
        </is>
      </c>
      <c r="H73" t="inlineStr">
        <is>
          <t/>
        </is>
      </c>
      <c r="I73" t="inlineStr">
        <is>
          <t/>
        </is>
      </c>
      <c r="J73" t="inlineStr">
        <is>
          <t/>
        </is>
      </c>
      <c r="K73" t="inlineStr">
        <is>
          <t>每周/事件触发</t>
        </is>
      </c>
      <c r="L73" t="inlineStr">
        <is>
          <t/>
        </is>
      </c>
    </row>
    <row r="74">
      <c r="A74" t="inlineStr">
        <is>
          <t>图片提炼：奥飞娱乐</t>
        </is>
      </c>
      <c r="B74" t="inlineStr">
        <is>
          <t>股票</t>
        </is>
      </c>
      <c r="C74" t="inlineStr">
        <is>
          <t>002292</t>
        </is>
      </c>
      <c r="D74" t="inlineStr">
        <is>
          <t>奥飞娱乐</t>
        </is>
      </c>
      <c r="E74" t="inlineStr">
        <is>
          <t>生肖概念</t>
        </is>
      </c>
      <c r="F74" t="inlineStr">
        <is>
          <t>观察</t>
        </is>
      </c>
      <c r="G74" t="inlineStr">
        <is>
          <t/>
        </is>
      </c>
      <c r="H74" t="inlineStr">
        <is>
          <t/>
        </is>
      </c>
      <c r="I74" t="inlineStr">
        <is>
          <t/>
        </is>
      </c>
      <c r="J74" t="inlineStr">
        <is>
          <t/>
        </is>
      </c>
      <c r="K74" t="inlineStr">
        <is>
          <t>每周/事件触发</t>
        </is>
      </c>
      <c r="L74" t="inlineStr">
        <is>
          <t/>
        </is>
      </c>
    </row>
    <row r="75">
      <c r="A75" t="inlineStr">
        <is>
          <t>图片提炼：蒙草生态</t>
        </is>
      </c>
      <c r="B75" t="inlineStr">
        <is>
          <t>股票</t>
        </is>
      </c>
      <c r="C75" t="inlineStr">
        <is>
          <t>300355</t>
        </is>
      </c>
      <c r="D75" t="inlineStr">
        <is>
          <t>蒙草生态</t>
        </is>
      </c>
      <c r="E75" t="inlineStr">
        <is>
          <t>生肖概念</t>
        </is>
      </c>
      <c r="F75" t="inlineStr">
        <is>
          <t>观察</t>
        </is>
      </c>
      <c r="G75" t="inlineStr">
        <is>
          <t/>
        </is>
      </c>
      <c r="H75" t="inlineStr">
        <is>
          <t/>
        </is>
      </c>
      <c r="I75" t="inlineStr">
        <is>
          <t/>
        </is>
      </c>
      <c r="J75" t="inlineStr">
        <is>
          <t/>
        </is>
      </c>
      <c r="K75" t="inlineStr">
        <is>
          <t>每周/事件触发</t>
        </is>
      </c>
      <c r="L75" t="inlineStr">
        <is>
          <t/>
        </is>
      </c>
    </row>
    <row r="76">
      <c r="A76" t="inlineStr">
        <is>
          <t>图片提炼：五洋自控</t>
        </is>
      </c>
      <c r="B76" t="inlineStr">
        <is>
          <t>股票</t>
        </is>
      </c>
      <c r="C76" t="inlineStr">
        <is>
          <t>300420</t>
        </is>
      </c>
      <c r="D76" t="inlineStr">
        <is>
          <t>五洋自控</t>
        </is>
      </c>
      <c r="E76" t="inlineStr">
        <is>
          <t>生肖概念</t>
        </is>
      </c>
      <c r="F76" t="inlineStr">
        <is>
          <t>观察</t>
        </is>
      </c>
      <c r="G76" t="inlineStr">
        <is>
          <t/>
        </is>
      </c>
      <c r="H76" t="inlineStr">
        <is>
          <t/>
        </is>
      </c>
      <c r="I76" t="inlineStr">
        <is>
          <t/>
        </is>
      </c>
      <c r="J76" t="inlineStr">
        <is>
          <t/>
        </is>
      </c>
      <c r="K76" t="inlineStr">
        <is>
          <t>每周/事件触发</t>
        </is>
      </c>
      <c r="L76" t="inlineStr">
        <is>
          <t/>
        </is>
      </c>
    </row>
    <row r="77">
      <c r="A77" t="inlineStr">
        <is>
          <t>图片提炼：久之洋</t>
        </is>
      </c>
      <c r="B77" t="inlineStr">
        <is>
          <t>股票</t>
        </is>
      </c>
      <c r="C77" t="inlineStr">
        <is>
          <t>300516</t>
        </is>
      </c>
      <c r="D77" t="inlineStr">
        <is>
          <t>久之洋</t>
        </is>
      </c>
      <c r="E77" t="inlineStr">
        <is>
          <t>生肖概念</t>
        </is>
      </c>
      <c r="F77" t="inlineStr">
        <is>
          <t>观察</t>
        </is>
      </c>
      <c r="G77" t="inlineStr">
        <is>
          <t/>
        </is>
      </c>
      <c r="H77" t="inlineStr">
        <is>
          <t/>
        </is>
      </c>
      <c r="I77" t="inlineStr">
        <is>
          <t/>
        </is>
      </c>
      <c r="J77" t="inlineStr">
        <is>
          <t/>
        </is>
      </c>
      <c r="K77" t="inlineStr">
        <is>
          <t>每周/事件触发</t>
        </is>
      </c>
      <c r="L77" t="inlineStr">
        <is>
          <t/>
        </is>
      </c>
    </row>
    <row r="78">
      <c r="A78" t="inlineStr">
        <is>
          <t>图片提炼：水羊股份</t>
        </is>
      </c>
      <c r="B78" t="inlineStr">
        <is>
          <t>股票</t>
        </is>
      </c>
      <c r="C78" t="inlineStr">
        <is>
          <t>300740</t>
        </is>
      </c>
      <c r="D78" t="inlineStr">
        <is>
          <t>水羊股份</t>
        </is>
      </c>
      <c r="E78" t="inlineStr">
        <is>
          <t>生肖概念</t>
        </is>
      </c>
      <c r="F78" t="inlineStr">
        <is>
          <t>观察</t>
        </is>
      </c>
      <c r="G78" t="inlineStr">
        <is>
          <t/>
        </is>
      </c>
      <c r="H78" t="inlineStr">
        <is>
          <t/>
        </is>
      </c>
      <c r="I78" t="inlineStr">
        <is>
          <t/>
        </is>
      </c>
      <c r="J78" t="inlineStr">
        <is>
          <t/>
        </is>
      </c>
      <c r="K78" t="inlineStr">
        <is>
          <t>每周/事件触发</t>
        </is>
      </c>
      <c r="L78" t="inlineStr">
        <is>
          <t/>
        </is>
      </c>
    </row>
    <row r="79">
      <c r="A79" t="inlineStr">
        <is>
          <t>图片提炼：三羊马</t>
        </is>
      </c>
      <c r="B79" t="inlineStr">
        <is>
          <t>股票</t>
        </is>
      </c>
      <c r="C79" t="inlineStr">
        <is>
          <t>001317</t>
        </is>
      </c>
      <c r="D79" t="inlineStr">
        <is>
          <t>三羊马</t>
        </is>
      </c>
      <c r="E79" t="inlineStr">
        <is>
          <t>生肖概念</t>
        </is>
      </c>
      <c r="F79" t="inlineStr">
        <is>
          <t>观察</t>
        </is>
      </c>
      <c r="G79" t="inlineStr">
        <is>
          <t/>
        </is>
      </c>
      <c r="H79" t="inlineStr">
        <is>
          <t/>
        </is>
      </c>
      <c r="I79" t="inlineStr">
        <is>
          <t/>
        </is>
      </c>
      <c r="J79" t="inlineStr">
        <is>
          <t/>
        </is>
      </c>
      <c r="K79" t="inlineStr">
        <is>
          <t>每周/事件触发</t>
        </is>
      </c>
      <c r="L79" t="inlineStr">
        <is>
          <t/>
        </is>
      </c>
    </row>
  </sheetData>
  <autoFilter ref="A1:L79"/>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22" customWidth="1"/>
    <col min="3" max="3" width="12" customWidth="1"/>
    <col min="4" max="4" width="12" customWidth="1"/>
    <col min="5" max="5" width="18" customWidth="1"/>
  </cols>
  <sheetData>
    <row r="1">
      <c r="A1" t="inlineStr">
        <is>
          <t>原始输入</t>
        </is>
      </c>
      <c r="B1" t="inlineStr">
        <is>
          <t>搜索词</t>
        </is>
      </c>
      <c r="C1" t="inlineStr">
        <is>
          <t>处理结果</t>
        </is>
      </c>
      <c r="D1" t="inlineStr">
        <is>
          <t>搜索到的近似结果/原因</t>
        </is>
      </c>
      <c r="E1" t="inlineStr">
        <is>
          <t>建议</t>
        </is>
      </c>
    </row>
    <row r="2">
      <c r="A2" t="inlineStr">
        <is>
          <t>蓝箭</t>
        </is>
      </c>
      <c r="B2" t="inlineStr">
        <is>
          <t>蓝箭航天</t>
        </is>
      </c>
      <c r="C2" t="inlineStr">
        <is>
          <t>跳过</t>
        </is>
      </c>
      <c r="D2" t="inlineStr">
        <is>
          <t>上下文更像“蓝箭航天/可回收商业航天”，东方财富未搜到上市标的；仅“蓝箭”会返回蓝箭电子(301348)，为避免误加已跳过。</t>
        </is>
      </c>
      <c r="E2" t="inlineStr">
        <is>
          <t>如需加入，请提供更精确的上市代码、ETF代码或东方财富可搜索板块名。</t>
        </is>
      </c>
    </row>
    <row r="3">
      <c r="A3" t="inlineStr">
        <is>
          <t>563530</t>
        </is>
      </c>
      <c r="B3" t="inlineStr">
        <is>
          <t>563530</t>
        </is>
      </c>
      <c r="C3" t="inlineStr">
        <is>
          <t>跳过</t>
        </is>
      </c>
      <c r="D3" t="inlineStr">
        <is>
          <t>未找到确定匹配；近似搜索结果：563530 北京2474(债券)</t>
        </is>
      </c>
      <c r="E3" t="inlineStr">
        <is>
          <t>如需加入，请提供更精确的上市代码、ETF代码或东方财富可搜索板块名。</t>
        </is>
      </c>
    </row>
    <row r="4">
      <c r="A4" t="inlineStr">
        <is>
          <t>康拓</t>
        </is>
      </c>
      <c r="B4" t="inlineStr">
        <is>
          <t>康拓</t>
        </is>
      </c>
      <c r="C4" t="inlineStr">
        <is>
          <t>跳过</t>
        </is>
      </c>
      <c r="D4" t="inlineStr">
        <is>
          <t>“康拓”可能指康拓医疗，也可能指原康拓红外/航天智装等旧称，当前输入不够确定，已跳过以避免误加。</t>
        </is>
      </c>
      <c r="E4" t="inlineStr">
        <is>
          <t>如需加入，请提供更精确的上市代码、ETF代码或东方财富可搜索板块名。</t>
        </is>
      </c>
    </row>
  </sheetData>
  <autoFilter ref="A1:E4"/>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22" customWidth="1"/>
    <col min="3" max="3" width="12" customWidth="1"/>
    <col min="4" max="4" width="12" customWidth="1"/>
    <col min="5" max="5" width="18" customWidth="1"/>
    <col min="6" max="6" width="14" customWidth="1"/>
    <col min="7" max="7" width="34" customWidth="1"/>
    <col min="8" max="8" width="42" customWidth="1"/>
    <col min="9" max="9" width="12" customWidth="1"/>
    <col min="10" max="10" width="14" customWidth="1"/>
    <col min="11" max="11" width="14" customWidth="1"/>
  </cols>
  <sheetData>
    <row r="1">
      <c r="A1" t="inlineStr">
        <is>
          <t>层级</t>
        </is>
      </c>
      <c r="B1" t="inlineStr">
        <is>
          <t>板块/概念</t>
        </is>
      </c>
      <c r="C1" t="inlineStr">
        <is>
          <t>ETF/基金</t>
        </is>
      </c>
      <c r="D1" t="inlineStr">
        <is>
          <t>个股/指数</t>
        </is>
      </c>
      <c r="E1" t="inlineStr">
        <is>
          <t>代码</t>
        </is>
      </c>
      <c r="F1" t="inlineStr">
        <is>
          <t>名称</t>
        </is>
      </c>
      <c r="G1" t="inlineStr">
        <is>
          <t>角色</t>
        </is>
      </c>
      <c r="H1" t="inlineStr">
        <is>
          <t>相近关系</t>
        </is>
      </c>
      <c r="I1" t="inlineStr">
        <is>
          <t>近1月涨幅</t>
        </is>
      </c>
      <c r="J1" t="inlineStr">
        <is>
          <t>日线K线图</t>
        </is>
      </c>
      <c r="K1" t="inlineStr">
        <is>
          <t>备注</t>
        </is>
      </c>
    </row>
    <row r="2">
      <c r="A2" t="inlineStr">
        <is>
          <t>1 板块概念</t>
        </is>
      </c>
      <c r="B2" t="inlineStr">
        <is>
          <t>半导体材料与设备</t>
        </is>
      </c>
      <c r="C2" t="inlineStr">
        <is>
          <t/>
        </is>
      </c>
      <c r="D2" t="inlineStr">
        <is>
          <t/>
        </is>
      </c>
      <c r="E2" t="inlineStr">
        <is>
          <t/>
        </is>
      </c>
      <c r="F2" t="inlineStr">
        <is>
          <t>半导体材料与设备</t>
        </is>
      </c>
      <c r="G2" t="inlineStr">
        <is>
          <t>板块概念</t>
        </is>
      </c>
      <c r="H2" t="inlineStr">
        <is>
          <t/>
        </is>
      </c>
      <c r="I2" t="inlineStr">
        <is>
          <t/>
        </is>
      </c>
      <c r="J2" t="inlineStr">
        <is>
          <t/>
        </is>
      </c>
      <c r="K2" t="inlineStr">
        <is>
          <t>半导体设备、电子化学品、湿法化学品、靶材、显示材料和工程制造。</t>
        </is>
      </c>
    </row>
    <row r="3">
      <c r="A3" t="inlineStr">
        <is>
          <t>3 个股/指数</t>
        </is>
      </c>
      <c r="B3" t="inlineStr">
        <is>
          <t>半导体材料与设备</t>
        </is>
      </c>
      <c r="C3" t="inlineStr">
        <is>
          <t/>
        </is>
      </c>
      <c r="D3" t="inlineStr">
        <is>
          <t>湿法化学品</t>
        </is>
      </c>
      <c r="E3" t="inlineStr">
        <is>
          <t>CUSTOM_湿法化学品</t>
        </is>
      </c>
      <c r="F3" t="inlineStr">
        <is>
          <t>湿法化学品</t>
        </is>
      </c>
      <c r="G3" t="inlineStr">
        <is>
          <t>板块概念</t>
        </is>
      </c>
      <c r="H3" t="inlineStr">
        <is>
          <t/>
        </is>
      </c>
      <c r="I3" t="inlineStr">
        <is>
          <t/>
        </is>
      </c>
      <c r="J3" t="inlineStr">
        <is>
          <t/>
        </is>
      </c>
      <c r="K3" t="inlineStr">
        <is>
          <t>湿法化学品</t>
        </is>
      </c>
    </row>
    <row r="4">
      <c r="A4" t="inlineStr">
        <is>
          <t>2 ETF/基金</t>
        </is>
      </c>
      <c r="B4" t="inlineStr">
        <is>
          <t>半导体材料与设备</t>
        </is>
      </c>
      <c r="C4" t="inlineStr">
        <is>
          <t>半导体设备ETF易方达</t>
        </is>
      </c>
      <c r="D4" t="inlineStr">
        <is>
          <t/>
        </is>
      </c>
      <c r="E4" t="inlineStr">
        <is>
          <t>159558</t>
        </is>
      </c>
      <c r="F4" t="inlineStr">
        <is>
          <t>半导体设备ETF易方达</t>
        </is>
      </c>
      <c r="G4" t="inlineStr">
        <is>
          <t>ETF/基金</t>
        </is>
      </c>
      <c r="H4" t="inlineStr">
        <is>
          <t>指数/宽基基金</t>
        </is>
      </c>
      <c r="I4" t="inlineStr">
        <is>
          <t>45.75%</t>
        </is>
      </c>
      <c r="J4" t="str">
        <f>HYPERLINK("kline_charts/159558_半导体设备ETF易方达.html","打开K线图")</f>
        <v>打开K线图</v>
      </c>
      <c r="K4" t="inlineStr">
        <is>
          <t>半导体设备ETF</t>
        </is>
      </c>
    </row>
    <row r="5">
      <c r="A5" t="inlineStr">
        <is>
          <t>3 个股/指数</t>
        </is>
      </c>
      <c r="B5" t="inlineStr">
        <is>
          <t>半导体材料与设备</t>
        </is>
      </c>
      <c r="C5" t="inlineStr">
        <is>
          <t/>
        </is>
      </c>
      <c r="D5" t="inlineStr">
        <is>
          <t>京仪装备</t>
        </is>
      </c>
      <c r="E5" t="inlineStr">
        <is>
          <t>688652</t>
        </is>
      </c>
      <c r="F5" t="inlineStr">
        <is>
          <t>京仪装备</t>
        </is>
      </c>
      <c r="G5" t="inlineStr">
        <is>
          <t>个股</t>
        </is>
      </c>
      <c r="H5" t="inlineStr">
        <is>
          <t/>
        </is>
      </c>
      <c r="I5" t="inlineStr">
        <is>
          <t>65.08%</t>
        </is>
      </c>
      <c r="J5" t="str">
        <f>HYPERLINK("kline_charts/688652_京仪装备.html","打开K线图")</f>
        <v>打开K线图</v>
      </c>
      <c r="K5" t="inlineStr">
        <is>
          <t>半导体设备；真空装备</t>
        </is>
      </c>
    </row>
    <row r="6">
      <c r="A6" t="inlineStr">
        <is>
          <t>3 个股/指数</t>
        </is>
      </c>
      <c r="B6" t="inlineStr">
        <is>
          <t>半导体材料与设备</t>
        </is>
      </c>
      <c r="C6" t="inlineStr">
        <is>
          <t/>
        </is>
      </c>
      <c r="D6" t="inlineStr">
        <is>
          <t>伟测科技</t>
        </is>
      </c>
      <c r="E6" t="inlineStr">
        <is>
          <t>688372</t>
        </is>
      </c>
      <c r="F6" t="inlineStr">
        <is>
          <t>伟测科技</t>
        </is>
      </c>
      <c r="G6" t="inlineStr">
        <is>
          <t>个股</t>
        </is>
      </c>
      <c r="H6" t="inlineStr">
        <is>
          <t/>
        </is>
      </c>
      <c r="I6" t="inlineStr">
        <is>
          <t>26.64%</t>
        </is>
      </c>
      <c r="J6" t="str">
        <f>HYPERLINK("kline_charts/688372_伟测科技.html","打开K线图")</f>
        <v>打开K线图</v>
      </c>
      <c r="K6" t="inlineStr">
        <is>
          <t>半导体测试；先进封测</t>
        </is>
      </c>
    </row>
    <row r="7">
      <c r="A7" t="inlineStr">
        <is>
          <t>3 个股/指数</t>
        </is>
      </c>
      <c r="B7" t="inlineStr">
        <is>
          <t>半导体材料与设备</t>
        </is>
      </c>
      <c r="C7" t="inlineStr">
        <is>
          <t/>
        </is>
      </c>
      <c r="D7" t="inlineStr">
        <is>
          <t>太极实业</t>
        </is>
      </c>
      <c r="E7" t="inlineStr">
        <is>
          <t>600667</t>
        </is>
      </c>
      <c r="F7" t="inlineStr">
        <is>
          <t>太极实业</t>
        </is>
      </c>
      <c r="G7" t="inlineStr">
        <is>
          <t>个股</t>
        </is>
      </c>
      <c r="H7" t="inlineStr">
        <is>
          <t/>
        </is>
      </c>
      <c r="I7" t="inlineStr">
        <is>
          <t>61.72%</t>
        </is>
      </c>
      <c r="J7" t="str">
        <f>HYPERLINK("kline_charts/600667_太极实业.html","打开K线图")</f>
        <v>打开K线图</v>
      </c>
      <c r="K7" t="inlineStr">
        <is>
          <t>半导体工程/电子制造</t>
        </is>
      </c>
    </row>
    <row r="8">
      <c r="A8" t="inlineStr">
        <is>
          <t>3 个股/指数</t>
        </is>
      </c>
      <c r="B8" t="inlineStr">
        <is>
          <t>半导体材料与设备</t>
        </is>
      </c>
      <c r="C8" t="inlineStr">
        <is>
          <t/>
        </is>
      </c>
      <c r="D8" t="inlineStr">
        <is>
          <t>富创精密</t>
        </is>
      </c>
      <c r="E8" t="inlineStr">
        <is>
          <t>688409</t>
        </is>
      </c>
      <c r="F8" t="inlineStr">
        <is>
          <t>富创精密</t>
        </is>
      </c>
      <c r="G8" t="inlineStr">
        <is>
          <t>个股</t>
        </is>
      </c>
      <c r="H8" t="inlineStr">
        <is>
          <t/>
        </is>
      </c>
      <c r="I8" t="inlineStr">
        <is>
          <t>59.82%</t>
        </is>
      </c>
      <c r="J8" t="str">
        <f>HYPERLINK("kline_charts/688409_富创精密.html","打开K线图")</f>
        <v>打开K线图</v>
      </c>
      <c r="K8" t="inlineStr">
        <is>
          <t>半导体设备零部件；精密制造</t>
        </is>
      </c>
    </row>
    <row r="9">
      <c r="A9" t="inlineStr">
        <is>
          <t>3 个股/指数</t>
        </is>
      </c>
      <c r="B9" t="inlineStr">
        <is>
          <t>半导体材料与设备</t>
        </is>
      </c>
      <c r="C9" t="inlineStr">
        <is>
          <t/>
        </is>
      </c>
      <c r="D9" t="inlineStr">
        <is>
          <t>新莱应材</t>
        </is>
      </c>
      <c r="E9" t="inlineStr">
        <is>
          <t>300260</t>
        </is>
      </c>
      <c r="F9" t="inlineStr">
        <is>
          <t>新莱应材</t>
        </is>
      </c>
      <c r="G9" t="inlineStr">
        <is>
          <t>个股</t>
        </is>
      </c>
      <c r="H9" t="inlineStr">
        <is>
          <t/>
        </is>
      </c>
      <c r="I9" t="inlineStr">
        <is>
          <t>20.95%</t>
        </is>
      </c>
      <c r="J9" t="str">
        <f>HYPERLINK("kline_charts/300260_新莱应材.html","打开K线图")</f>
        <v>打开K线图</v>
      </c>
      <c r="K9" t="inlineStr">
        <is>
          <t>半导体设备；洁净材料；高纯工艺系统</t>
        </is>
      </c>
    </row>
    <row r="10">
      <c r="A10" t="inlineStr">
        <is>
          <t>3 个股/指数</t>
        </is>
      </c>
      <c r="B10" t="inlineStr">
        <is>
          <t>半导体材料与设备</t>
        </is>
      </c>
      <c r="C10" t="inlineStr">
        <is>
          <t/>
        </is>
      </c>
      <c r="D10" t="inlineStr">
        <is>
          <t>江丰电子</t>
        </is>
      </c>
      <c r="E10" t="inlineStr">
        <is>
          <t>300666</t>
        </is>
      </c>
      <c r="F10" t="inlineStr">
        <is>
          <t>江丰电子</t>
        </is>
      </c>
      <c r="G10" t="inlineStr">
        <is>
          <t>个股</t>
        </is>
      </c>
      <c r="H10" t="inlineStr">
        <is>
          <t/>
        </is>
      </c>
      <c r="I10" t="inlineStr">
        <is>
          <t>49.92%</t>
        </is>
      </c>
      <c r="J10" t="str">
        <f>HYPERLINK("kline_charts/300666_江丰电子.html","打开K线图")</f>
        <v>打开K线图</v>
      </c>
      <c r="K10" t="inlineStr">
        <is>
          <t>半导体材料</t>
        </is>
      </c>
    </row>
    <row r="11">
      <c r="A11" t="inlineStr">
        <is>
          <t>3 个股/指数</t>
        </is>
      </c>
      <c r="B11" t="inlineStr">
        <is>
          <t>半导体材料与设备</t>
        </is>
      </c>
      <c r="C11" t="inlineStr">
        <is>
          <t/>
        </is>
      </c>
      <c r="D11" t="inlineStr">
        <is>
          <t>江化微</t>
        </is>
      </c>
      <c r="E11" t="inlineStr">
        <is>
          <t>603078</t>
        </is>
      </c>
      <c r="F11" t="inlineStr">
        <is>
          <t>江化微</t>
        </is>
      </c>
      <c r="G11" t="inlineStr">
        <is>
          <t>个股</t>
        </is>
      </c>
      <c r="H11" t="inlineStr">
        <is>
          <t/>
        </is>
      </c>
      <c r="I11" t="inlineStr">
        <is>
          <t>11.37%</t>
        </is>
      </c>
      <c r="J11" t="str">
        <f>HYPERLINK("kline_charts/603078_江化微.html","打开K线图")</f>
        <v>打开K线图</v>
      </c>
      <c r="K11" t="inlineStr">
        <is>
          <t>湿法化学品待确认/电子化学品</t>
        </is>
      </c>
    </row>
    <row r="12">
      <c r="A12" t="inlineStr">
        <is>
          <t>3 个股/指数</t>
        </is>
      </c>
      <c r="B12" t="inlineStr">
        <is>
          <t>半导体材料与设备</t>
        </is>
      </c>
      <c r="C12" t="inlineStr">
        <is>
          <t/>
        </is>
      </c>
      <c r="D12" t="inlineStr">
        <is>
          <t>沃格光电</t>
        </is>
      </c>
      <c r="E12" t="inlineStr">
        <is>
          <t>603773</t>
        </is>
      </c>
      <c r="F12" t="inlineStr">
        <is>
          <t>沃格光电</t>
        </is>
      </c>
      <c r="G12" t="inlineStr">
        <is>
          <t>个股</t>
        </is>
      </c>
      <c r="H12" t="inlineStr">
        <is>
          <t/>
        </is>
      </c>
      <c r="I12" t="inlineStr">
        <is>
          <t>-21.27%</t>
        </is>
      </c>
      <c r="J12" t="str">
        <f>HYPERLINK("kline_charts/603773_沃格光电.html","打开K线图")</f>
        <v>打开K线图</v>
      </c>
      <c r="K12" t="inlineStr">
        <is>
          <t>电子材料/显示</t>
        </is>
      </c>
    </row>
    <row r="13">
      <c r="A13" t="inlineStr">
        <is>
          <t>3 个股/指数</t>
        </is>
      </c>
      <c r="B13" t="inlineStr">
        <is>
          <t>半导体材料与设备</t>
        </is>
      </c>
      <c r="C13" t="inlineStr">
        <is>
          <t/>
        </is>
      </c>
      <c r="D13" t="inlineStr">
        <is>
          <t>珂玛科技</t>
        </is>
      </c>
      <c r="E13" t="inlineStr">
        <is>
          <t>301611</t>
        </is>
      </c>
      <c r="F13" t="inlineStr">
        <is>
          <t>珂玛科技</t>
        </is>
      </c>
      <c r="G13" t="inlineStr">
        <is>
          <t>个股</t>
        </is>
      </c>
      <c r="H13" t="inlineStr">
        <is>
          <t/>
        </is>
      </c>
      <c r="I13" t="inlineStr">
        <is>
          <t>26.11%</t>
        </is>
      </c>
      <c r="J13" t="str">
        <f>HYPERLINK("kline_charts/301611_珂玛科技.html","打开K线图")</f>
        <v>打开K线图</v>
      </c>
      <c r="K13" t="inlineStr">
        <is>
          <t>半导体材料；先进陶瓷</t>
        </is>
      </c>
    </row>
    <row r="14">
      <c r="A14" t="inlineStr">
        <is>
          <t>3 个股/指数</t>
        </is>
      </c>
      <c r="B14" t="inlineStr">
        <is>
          <t>半导体材料与设备</t>
        </is>
      </c>
      <c r="C14" t="inlineStr">
        <is>
          <t/>
        </is>
      </c>
      <c r="D14" t="inlineStr">
        <is>
          <t>至纯科技</t>
        </is>
      </c>
      <c r="E14" t="inlineStr">
        <is>
          <t>603690</t>
        </is>
      </c>
      <c r="F14" t="inlineStr">
        <is>
          <t>至纯科技</t>
        </is>
      </c>
      <c r="G14" t="inlineStr">
        <is>
          <t>个股</t>
        </is>
      </c>
      <c r="H14" t="inlineStr">
        <is>
          <t/>
        </is>
      </c>
      <c r="I14" t="inlineStr">
        <is>
          <t>19.22%</t>
        </is>
      </c>
      <c r="J14" t="str">
        <f>HYPERLINK("kline_charts/603690_至纯科技.html","打开K线图")</f>
        <v>打开K线图</v>
      </c>
      <c r="K14" t="inlineStr">
        <is>
          <t>半导体设备ETF(159558)；湿法化学品待确认</t>
        </is>
      </c>
    </row>
    <row r="15">
      <c r="A15" t="inlineStr">
        <is>
          <t>3 个股/指数</t>
        </is>
      </c>
      <c r="B15" t="inlineStr">
        <is>
          <t>半导体材料与设备</t>
        </is>
      </c>
      <c r="C15" t="inlineStr">
        <is>
          <t/>
        </is>
      </c>
      <c r="D15" t="inlineStr">
        <is>
          <t>长川科技</t>
        </is>
      </c>
      <c r="E15" t="inlineStr">
        <is>
          <t>300604</t>
        </is>
      </c>
      <c r="F15" t="inlineStr">
        <is>
          <t>长川科技</t>
        </is>
      </c>
      <c r="G15" t="inlineStr">
        <is>
          <t>个股</t>
        </is>
      </c>
      <c r="H15" t="inlineStr">
        <is>
          <t/>
        </is>
      </c>
      <c r="I15" t="inlineStr">
        <is>
          <t>49.25%</t>
        </is>
      </c>
      <c r="J15" t="str">
        <f>HYPERLINK("kline_charts/300604_长川科技.html","打开K线图")</f>
        <v>打开K线图</v>
      </c>
      <c r="K15" t="inlineStr">
        <is>
          <t>半导体设备；测试设备</t>
        </is>
      </c>
    </row>
    <row r="16">
      <c r="A16" t="inlineStr">
        <is>
          <t>3 个股/指数</t>
        </is>
      </c>
      <c r="B16" t="inlineStr">
        <is>
          <t>半导体材料与设备</t>
        </is>
      </c>
      <c r="C16" t="inlineStr">
        <is>
          <t/>
        </is>
      </c>
      <c r="D16" t="inlineStr">
        <is>
          <t>鼎龙股份</t>
        </is>
      </c>
      <c r="E16" t="inlineStr">
        <is>
          <t>300054</t>
        </is>
      </c>
      <c r="F16" t="inlineStr">
        <is>
          <t>鼎龙股份</t>
        </is>
      </c>
      <c r="G16" t="inlineStr">
        <is>
          <t>个股</t>
        </is>
      </c>
      <c r="H16" t="inlineStr">
        <is>
          <t/>
        </is>
      </c>
      <c r="I16" t="inlineStr">
        <is>
          <t>33.72%</t>
        </is>
      </c>
      <c r="J16" t="str">
        <f>HYPERLINK("kline_charts/300054_鼎龙股份.html","打开K线图")</f>
        <v>打开K线图</v>
      </c>
      <c r="K16" t="inlineStr">
        <is>
          <t>半导体材料；CMP抛光材料</t>
        </is>
      </c>
    </row>
    <row r="17">
      <c r="A17" t="inlineStr">
        <is>
          <t>1 板块概念</t>
        </is>
      </c>
      <c r="B17" t="inlineStr">
        <is>
          <t>生肖概念</t>
        </is>
      </c>
      <c r="C17" t="inlineStr">
        <is>
          <t/>
        </is>
      </c>
      <c r="D17" t="inlineStr">
        <is>
          <t/>
        </is>
      </c>
      <c r="E17" t="inlineStr">
        <is>
          <t/>
        </is>
      </c>
      <c r="F17" t="inlineStr">
        <is>
          <t>生肖概念</t>
        </is>
      </c>
      <c r="G17" t="inlineStr">
        <is>
          <t>板块概念</t>
        </is>
      </c>
      <c r="H17" t="inlineStr">
        <is>
          <t/>
        </is>
      </c>
      <c r="I17" t="inlineStr">
        <is>
          <t/>
        </is>
      </c>
      <c r="J17" t="inlineStr">
        <is>
          <t/>
        </is>
      </c>
      <c r="K17" t="inlineStr">
        <is>
          <t>从图片自选组提炼的生肖名称相关股票，板块涨跌幅按成分市值加权汇总。</t>
        </is>
      </c>
    </row>
    <row r="18">
      <c r="A18" t="inlineStr">
        <is>
          <t>3 个股/指数</t>
        </is>
      </c>
      <c r="B18" t="inlineStr">
        <is>
          <t>生肖概念</t>
        </is>
      </c>
      <c r="C18" t="inlineStr">
        <is>
          <t/>
        </is>
      </c>
      <c r="D18" t="inlineStr">
        <is>
          <t>生肖概念</t>
        </is>
      </c>
      <c r="E18" t="inlineStr">
        <is>
          <t>CUSTOM_生肖概念</t>
        </is>
      </c>
      <c r="F18" t="inlineStr">
        <is>
          <t>生肖概念</t>
        </is>
      </c>
      <c r="G18" t="inlineStr">
        <is>
          <t>板块概念</t>
        </is>
      </c>
      <c r="H18" t="inlineStr">
        <is>
          <t/>
        </is>
      </c>
      <c r="I18" t="inlineStr">
        <is>
          <t/>
        </is>
      </c>
      <c r="J18" t="inlineStr">
        <is>
          <t/>
        </is>
      </c>
      <c r="K18" t="inlineStr">
        <is>
          <t>生肖概念</t>
        </is>
      </c>
    </row>
    <row r="19">
      <c r="A19" t="inlineStr">
        <is>
          <t>3 个股/指数</t>
        </is>
      </c>
      <c r="B19" t="inlineStr">
        <is>
          <t>生肖概念</t>
        </is>
      </c>
      <c r="C19" t="inlineStr">
        <is>
          <t/>
        </is>
      </c>
      <c r="D19" t="inlineStr">
        <is>
          <t>七匹狼</t>
        </is>
      </c>
      <c r="E19" t="inlineStr">
        <is>
          <t>002029</t>
        </is>
      </c>
      <c r="F19" t="inlineStr">
        <is>
          <t>七匹狼</t>
        </is>
      </c>
      <c r="G19" t="inlineStr">
        <is>
          <t>个股</t>
        </is>
      </c>
      <c r="H19" t="inlineStr">
        <is>
          <t/>
        </is>
      </c>
      <c r="I19" t="inlineStr">
        <is>
          <t>-7.50%</t>
        </is>
      </c>
      <c r="J19" t="str">
        <f>HYPERLINK("kline_charts/002029_七匹狼.html","打开K线图")</f>
        <v>打开K线图</v>
      </c>
      <c r="K19" t="inlineStr">
        <is>
          <t>生肖概念</t>
        </is>
      </c>
    </row>
    <row r="20">
      <c r="A20" t="inlineStr">
        <is>
          <t>3 个股/指数</t>
        </is>
      </c>
      <c r="B20" t="inlineStr">
        <is>
          <t>生肖概念</t>
        </is>
      </c>
      <c r="C20" t="inlineStr">
        <is>
          <t/>
        </is>
      </c>
      <c r="D20" t="inlineStr">
        <is>
          <t>三羊马</t>
        </is>
      </c>
      <c r="E20" t="inlineStr">
        <is>
          <t>001317</t>
        </is>
      </c>
      <c r="F20" t="inlineStr">
        <is>
          <t>三羊马</t>
        </is>
      </c>
      <c r="G20" t="inlineStr">
        <is>
          <t>个股</t>
        </is>
      </c>
      <c r="H20" t="inlineStr">
        <is>
          <t/>
        </is>
      </c>
      <c r="I20" t="inlineStr">
        <is>
          <t>-25.24%</t>
        </is>
      </c>
      <c r="J20" t="str">
        <f>HYPERLINK("kline_charts/001317_三羊马.html","打开K线图")</f>
        <v>打开K线图</v>
      </c>
      <c r="K20" t="inlineStr">
        <is>
          <t>生肖概念</t>
        </is>
      </c>
    </row>
    <row r="21">
      <c r="A21" t="inlineStr">
        <is>
          <t>3 个股/指数</t>
        </is>
      </c>
      <c r="B21" t="inlineStr">
        <is>
          <t>生肖概念</t>
        </is>
      </c>
      <c r="C21" t="inlineStr">
        <is>
          <t/>
        </is>
      </c>
      <c r="D21" t="inlineStr">
        <is>
          <t>久之洋</t>
        </is>
      </c>
      <c r="E21" t="inlineStr">
        <is>
          <t>300516</t>
        </is>
      </c>
      <c r="F21" t="inlineStr">
        <is>
          <t>久之洋</t>
        </is>
      </c>
      <c r="G21" t="inlineStr">
        <is>
          <t>个股</t>
        </is>
      </c>
      <c r="H21" t="inlineStr">
        <is>
          <t/>
        </is>
      </c>
      <c r="I21" t="inlineStr">
        <is>
          <t>-18.78%</t>
        </is>
      </c>
      <c r="J21" t="str">
        <f>HYPERLINK("kline_charts/300516_久之洋.html","打开K线图")</f>
        <v>打开K线图</v>
      </c>
      <c r="K21" t="inlineStr">
        <is>
          <t>生肖概念</t>
        </is>
      </c>
    </row>
    <row r="22">
      <c r="A22" t="inlineStr">
        <is>
          <t>3 个股/指数</t>
        </is>
      </c>
      <c r="B22" t="inlineStr">
        <is>
          <t>生肖概念</t>
        </is>
      </c>
      <c r="C22" t="inlineStr">
        <is>
          <t/>
        </is>
      </c>
      <c r="D22" t="inlineStr">
        <is>
          <t>五洋自控</t>
        </is>
      </c>
      <c r="E22" t="inlineStr">
        <is>
          <t>300420</t>
        </is>
      </c>
      <c r="F22" t="inlineStr">
        <is>
          <t>五洋自控</t>
        </is>
      </c>
      <c r="G22" t="inlineStr">
        <is>
          <t>个股</t>
        </is>
      </c>
      <c r="H22" t="inlineStr">
        <is>
          <t/>
        </is>
      </c>
      <c r="I22" t="inlineStr">
        <is>
          <t>26.74%</t>
        </is>
      </c>
      <c r="J22" t="str">
        <f>HYPERLINK("kline_charts/300420_五洋自控.html","打开K线图")</f>
        <v>打开K线图</v>
      </c>
      <c r="K22" t="inlineStr">
        <is>
          <t>生肖概念</t>
        </is>
      </c>
    </row>
    <row r="23">
      <c r="A23" t="inlineStr">
        <is>
          <t>3 个股/指数</t>
        </is>
      </c>
      <c r="B23" t="inlineStr">
        <is>
          <t>生肖概念</t>
        </is>
      </c>
      <c r="C23" t="inlineStr">
        <is>
          <t/>
        </is>
      </c>
      <c r="D23" t="inlineStr">
        <is>
          <t>天洋新材</t>
        </is>
      </c>
      <c r="E23" t="inlineStr">
        <is>
          <t>603330</t>
        </is>
      </c>
      <c r="F23" t="inlineStr">
        <is>
          <t>天洋新材</t>
        </is>
      </c>
      <c r="G23" t="inlineStr">
        <is>
          <t>个股</t>
        </is>
      </c>
      <c r="H23" t="inlineStr">
        <is>
          <t/>
        </is>
      </c>
      <c r="I23" t="inlineStr">
        <is>
          <t>-9.73%</t>
        </is>
      </c>
      <c r="J23" t="str">
        <f>HYPERLINK("kline_charts/603330_天洋新材.html","打开K线图")</f>
        <v>打开K线图</v>
      </c>
      <c r="K23" t="inlineStr">
        <is>
          <t>生肖概念</t>
        </is>
      </c>
    </row>
    <row r="24">
      <c r="A24" t="inlineStr">
        <is>
          <t>3 个股/指数</t>
        </is>
      </c>
      <c r="B24" t="inlineStr">
        <is>
          <t>生肖概念</t>
        </is>
      </c>
      <c r="C24" t="inlineStr">
        <is>
          <t/>
        </is>
      </c>
      <c r="D24" t="inlineStr">
        <is>
          <t>奥飞娱乐</t>
        </is>
      </c>
      <c r="E24" t="inlineStr">
        <is>
          <t>002292</t>
        </is>
      </c>
      <c r="F24" t="inlineStr">
        <is>
          <t>奥飞娱乐</t>
        </is>
      </c>
      <c r="G24" t="inlineStr">
        <is>
          <t>个股</t>
        </is>
      </c>
      <c r="H24" t="inlineStr">
        <is>
          <t/>
        </is>
      </c>
      <c r="I24" t="inlineStr">
        <is>
          <t>6.83%</t>
        </is>
      </c>
      <c r="J24" t="str">
        <f>HYPERLINK("kline_charts/002292_奥飞娱乐.html","打开K线图")</f>
        <v>打开K线图</v>
      </c>
      <c r="K24" t="inlineStr">
        <is>
          <t>生肖概念</t>
        </is>
      </c>
    </row>
    <row r="25">
      <c r="A25" t="inlineStr">
        <is>
          <t>3 个股/指数</t>
        </is>
      </c>
      <c r="B25" t="inlineStr">
        <is>
          <t>生肖概念</t>
        </is>
      </c>
      <c r="C25" t="inlineStr">
        <is>
          <t/>
        </is>
      </c>
      <c r="D25" t="inlineStr">
        <is>
          <t>水羊股份</t>
        </is>
      </c>
      <c r="E25" t="inlineStr">
        <is>
          <t>300740</t>
        </is>
      </c>
      <c r="F25" t="inlineStr">
        <is>
          <t>水羊股份</t>
        </is>
      </c>
      <c r="G25" t="inlineStr">
        <is>
          <t>个股</t>
        </is>
      </c>
      <c r="H25" t="inlineStr">
        <is>
          <t/>
        </is>
      </c>
      <c r="I25" t="inlineStr">
        <is>
          <t>-17.14%</t>
        </is>
      </c>
      <c r="J25" t="str">
        <f>HYPERLINK("kline_charts/300740_水羊股份.html","打开K线图")</f>
        <v>打开K线图</v>
      </c>
      <c r="K25" t="inlineStr">
        <is>
          <t>生肖概念</t>
        </is>
      </c>
    </row>
    <row r="26">
      <c r="A26" t="inlineStr">
        <is>
          <t>3 个股/指数</t>
        </is>
      </c>
      <c r="B26" t="inlineStr">
        <is>
          <t>生肖概念</t>
        </is>
      </c>
      <c r="C26" t="inlineStr">
        <is>
          <t/>
        </is>
      </c>
      <c r="D26" t="inlineStr">
        <is>
          <t>百洋医药</t>
        </is>
      </c>
      <c r="E26" t="inlineStr">
        <is>
          <t>301015</t>
        </is>
      </c>
      <c r="F26" t="inlineStr">
        <is>
          <t>百洋医药</t>
        </is>
      </c>
      <c r="G26" t="inlineStr">
        <is>
          <t>个股</t>
        </is>
      </c>
      <c r="H26" t="inlineStr">
        <is>
          <t>医药观察</t>
        </is>
      </c>
      <c r="I26" t="inlineStr">
        <is>
          <t>8.91%</t>
        </is>
      </c>
      <c r="J26" t="str">
        <f>HYPERLINK("kline_charts/301015_百洋医药.html","打开K线图")</f>
        <v>打开K线图</v>
      </c>
      <c r="K26" t="inlineStr">
        <is>
          <t>生肖概念</t>
        </is>
      </c>
    </row>
    <row r="27">
      <c r="A27" t="inlineStr">
        <is>
          <t>3 个股/指数</t>
        </is>
      </c>
      <c r="B27" t="inlineStr">
        <is>
          <t>生肖概念</t>
        </is>
      </c>
      <c r="C27" t="inlineStr">
        <is>
          <t/>
        </is>
      </c>
      <c r="D27" t="inlineStr">
        <is>
          <t>蒙草生态</t>
        </is>
      </c>
      <c r="E27" t="inlineStr">
        <is>
          <t>300355</t>
        </is>
      </c>
      <c r="F27" t="inlineStr">
        <is>
          <t>蒙草生态</t>
        </is>
      </c>
      <c r="G27" t="inlineStr">
        <is>
          <t>个股</t>
        </is>
      </c>
      <c r="H27" t="inlineStr">
        <is>
          <t/>
        </is>
      </c>
      <c r="I27" t="inlineStr">
        <is>
          <t>-11.88%</t>
        </is>
      </c>
      <c r="J27" t="str">
        <f>HYPERLINK("kline_charts/300355_蒙草生态.html","打开K线图")</f>
        <v>打开K线图</v>
      </c>
      <c r="K27" t="inlineStr">
        <is>
          <t>生肖概念</t>
        </is>
      </c>
    </row>
    <row r="28">
      <c r="A28" t="inlineStr">
        <is>
          <t>1 板块概念</t>
        </is>
      </c>
      <c r="B28" t="inlineStr">
        <is>
          <t>玻璃基板/电子布</t>
        </is>
      </c>
      <c r="C28" t="inlineStr">
        <is>
          <t/>
        </is>
      </c>
      <c r="D28" t="inlineStr">
        <is>
          <t/>
        </is>
      </c>
      <c r="E28" t="inlineStr">
        <is>
          <t/>
        </is>
      </c>
      <c r="F28" t="inlineStr">
        <is>
          <t>玻璃基板/电子布</t>
        </is>
      </c>
      <c r="G28" t="inlineStr">
        <is>
          <t>板块概念</t>
        </is>
      </c>
      <c r="H28" t="inlineStr">
        <is>
          <t/>
        </is>
      </c>
      <c r="I28" t="inlineStr">
        <is>
          <t/>
        </is>
      </c>
      <c r="J28" t="inlineStr">
        <is>
          <t/>
        </is>
      </c>
      <c r="K28" t="inlineStr">
        <is>
          <t>玻璃基板、电子布、PCB材料、显示材料和相关先进制造标的。</t>
        </is>
      </c>
    </row>
    <row r="29">
      <c r="A29" t="inlineStr">
        <is>
          <t>3 个股/指数</t>
        </is>
      </c>
      <c r="B29" t="inlineStr">
        <is>
          <t>玻璃基板/电子布</t>
        </is>
      </c>
      <c r="C29" t="inlineStr">
        <is>
          <t/>
        </is>
      </c>
      <c r="D29" t="inlineStr">
        <is>
          <t>玻璃基板</t>
        </is>
      </c>
      <c r="E29" t="inlineStr">
        <is>
          <t>BK1175</t>
        </is>
      </c>
      <c r="F29" t="inlineStr">
        <is>
          <t>玻璃基板</t>
        </is>
      </c>
      <c r="G29" t="inlineStr">
        <is>
          <t>板块概念</t>
        </is>
      </c>
      <c r="H29" t="inlineStr">
        <is>
          <t/>
        </is>
      </c>
      <c r="I29" t="inlineStr">
        <is>
          <t/>
        </is>
      </c>
      <c r="J29" t="inlineStr">
        <is>
          <t/>
        </is>
      </c>
      <c r="K29" t="inlineStr">
        <is>
          <t>玻璃基板板块</t>
        </is>
      </c>
    </row>
    <row r="30">
      <c r="A30" t="inlineStr">
        <is>
          <t>3 个股/指数</t>
        </is>
      </c>
      <c r="B30" t="inlineStr">
        <is>
          <t>玻璃基板/电子布</t>
        </is>
      </c>
      <c r="C30" t="inlineStr">
        <is>
          <t/>
        </is>
      </c>
      <c r="D30" t="inlineStr">
        <is>
          <t>电子布</t>
        </is>
      </c>
      <c r="E30" t="inlineStr">
        <is>
          <t>CUSTOM_电子布</t>
        </is>
      </c>
      <c r="F30" t="inlineStr">
        <is>
          <t>电子布</t>
        </is>
      </c>
      <c r="G30" t="inlineStr">
        <is>
          <t>板块概念</t>
        </is>
      </c>
      <c r="H30" t="inlineStr">
        <is>
          <t/>
        </is>
      </c>
      <c r="I30" t="inlineStr">
        <is>
          <t/>
        </is>
      </c>
      <c r="J30" t="inlineStr">
        <is>
          <t/>
        </is>
      </c>
      <c r="K30" t="inlineStr">
        <is>
          <t>电子布；PCB材料</t>
        </is>
      </c>
    </row>
    <row r="31">
      <c r="A31" t="inlineStr">
        <is>
          <t>3 个股/指数</t>
        </is>
      </c>
      <c r="B31" t="inlineStr">
        <is>
          <t>玻璃基板/电子布</t>
        </is>
      </c>
      <c r="C31" t="inlineStr">
        <is>
          <t/>
        </is>
      </c>
      <c r="D31" t="inlineStr">
        <is>
          <t>中国巨石</t>
        </is>
      </c>
      <c r="E31" t="inlineStr">
        <is>
          <t>600176</t>
        </is>
      </c>
      <c r="F31" t="inlineStr">
        <is>
          <t>中国巨石</t>
        </is>
      </c>
      <c r="G31" t="inlineStr">
        <is>
          <t>个股</t>
        </is>
      </c>
      <c r="H31" t="inlineStr">
        <is>
          <t/>
        </is>
      </c>
      <c r="I31" t="inlineStr">
        <is>
          <t>39.52%</t>
        </is>
      </c>
      <c r="J31" t="str">
        <f>HYPERLINK("kline_charts/600176_中国巨石.html","打开K线图")</f>
        <v>打开K线图</v>
      </c>
      <c r="K31" t="inlineStr">
        <is>
          <t>电子布；玻璃纤维；PCB材料</t>
        </is>
      </c>
    </row>
    <row r="32">
      <c r="A32" t="inlineStr">
        <is>
          <t>3 个股/指数</t>
        </is>
      </c>
      <c r="B32" t="inlineStr">
        <is>
          <t>玻璃基板/电子布</t>
        </is>
      </c>
      <c r="C32" t="inlineStr">
        <is>
          <t/>
        </is>
      </c>
      <c r="D32" t="inlineStr">
        <is>
          <t>中材科技</t>
        </is>
      </c>
      <c r="E32" t="inlineStr">
        <is>
          <t>002080</t>
        </is>
      </c>
      <c r="F32" t="inlineStr">
        <is>
          <t>中材科技</t>
        </is>
      </c>
      <c r="G32" t="inlineStr">
        <is>
          <t>个股</t>
        </is>
      </c>
      <c r="H32" t="inlineStr">
        <is>
          <t/>
        </is>
      </c>
      <c r="I32" t="inlineStr">
        <is>
          <t>9.42%</t>
        </is>
      </c>
      <c r="J32" t="str">
        <f>HYPERLINK("kline_charts/002080_中材科技.html","打开K线图")</f>
        <v>打开K线图</v>
      </c>
      <c r="K32" t="inlineStr">
        <is>
          <t>电子布；玻璃纤维；复合材料</t>
        </is>
      </c>
    </row>
    <row r="33">
      <c r="A33" t="inlineStr">
        <is>
          <t>3 个股/指数</t>
        </is>
      </c>
      <c r="B33" t="inlineStr">
        <is>
          <t>玻璃基板/电子布</t>
        </is>
      </c>
      <c r="C33" t="inlineStr">
        <is>
          <t/>
        </is>
      </c>
      <c r="D33" t="inlineStr">
        <is>
          <t>凯盛科技</t>
        </is>
      </c>
      <c r="E33" t="inlineStr">
        <is>
          <t>600552</t>
        </is>
      </c>
      <c r="F33" t="inlineStr">
        <is>
          <t>凯盛科技</t>
        </is>
      </c>
      <c r="G33" t="inlineStr">
        <is>
          <t>个股</t>
        </is>
      </c>
      <c r="H33" t="inlineStr">
        <is>
          <t>半导体材料与设备</t>
        </is>
      </c>
      <c r="I33" t="inlineStr">
        <is>
          <t>-2.73%</t>
        </is>
      </c>
      <c r="J33" t="str">
        <f>HYPERLINK("kline_charts/600552_凯盛科技.html","打开K线图")</f>
        <v>打开K线图</v>
      </c>
      <c r="K33" t="inlineStr">
        <is>
          <t>玻璃基板；显示材料</t>
        </is>
      </c>
    </row>
    <row r="34">
      <c r="A34" t="inlineStr">
        <is>
          <t>3 个股/指数</t>
        </is>
      </c>
      <c r="B34" t="inlineStr">
        <is>
          <t>玻璃基板/电子布</t>
        </is>
      </c>
      <c r="C34" t="inlineStr">
        <is>
          <t/>
        </is>
      </c>
      <c r="D34" t="inlineStr">
        <is>
          <t>国际复材</t>
        </is>
      </c>
      <c r="E34" t="inlineStr">
        <is>
          <t>301526</t>
        </is>
      </c>
      <c r="F34" t="inlineStr">
        <is>
          <t>国际复材</t>
        </is>
      </c>
      <c r="G34" t="inlineStr">
        <is>
          <t>个股</t>
        </is>
      </c>
      <c r="H34" t="inlineStr">
        <is>
          <t/>
        </is>
      </c>
      <c r="I34" t="inlineStr">
        <is>
          <t>44.24%</t>
        </is>
      </c>
      <c r="J34" t="str">
        <f>HYPERLINK("kline_charts/301526_国际复材.html","打开K线图")</f>
        <v>打开K线图</v>
      </c>
      <c r="K34" t="inlineStr">
        <is>
          <t>电子布；玻璃纤维；复合材料</t>
        </is>
      </c>
    </row>
    <row r="35">
      <c r="A35" t="inlineStr">
        <is>
          <t>3 个股/指数</t>
        </is>
      </c>
      <c r="B35" t="inlineStr">
        <is>
          <t>玻璃基板/电子布</t>
        </is>
      </c>
      <c r="C35" t="inlineStr">
        <is>
          <t/>
        </is>
      </c>
      <c r="D35" t="inlineStr">
        <is>
          <t>宏和科技</t>
        </is>
      </c>
      <c r="E35" t="inlineStr">
        <is>
          <t>603256</t>
        </is>
      </c>
      <c r="F35" t="inlineStr">
        <is>
          <t>宏和科技</t>
        </is>
      </c>
      <c r="G35" t="inlineStr">
        <is>
          <t>个股</t>
        </is>
      </c>
      <c r="H35" t="inlineStr">
        <is>
          <t/>
        </is>
      </c>
      <c r="I35" t="inlineStr">
        <is>
          <t>-1.44%</t>
        </is>
      </c>
      <c r="J35" t="str">
        <f>HYPERLINK("kline_charts/603256_宏和科技.html","打开K线图")</f>
        <v>打开K线图</v>
      </c>
      <c r="K35" t="inlineStr">
        <is>
          <t>电子布；玻纤布；PCB材料</t>
        </is>
      </c>
    </row>
    <row r="36">
      <c r="A36" t="inlineStr">
        <is>
          <t>3 个股/指数</t>
        </is>
      </c>
      <c r="B36" t="inlineStr">
        <is>
          <t>玻璃基板/电子布</t>
        </is>
      </c>
      <c r="C36" t="inlineStr">
        <is>
          <t/>
        </is>
      </c>
      <c r="D36" t="inlineStr">
        <is>
          <t>泰嘉股份</t>
        </is>
      </c>
      <c r="E36" t="inlineStr">
        <is>
          <t>002843</t>
        </is>
      </c>
      <c r="F36" t="inlineStr">
        <is>
          <t>泰嘉股份</t>
        </is>
      </c>
      <c r="G36" t="inlineStr">
        <is>
          <t>个股</t>
        </is>
      </c>
      <c r="H36" t="inlineStr">
        <is>
          <t/>
        </is>
      </c>
      <c r="I36" t="inlineStr">
        <is>
          <t>4.21%</t>
        </is>
      </c>
      <c r="J36" t="str">
        <f>HYPERLINK("kline_charts/002843_泰嘉股份.html","打开K线图")</f>
        <v>打开K线图</v>
      </c>
      <c r="K36" t="inlineStr">
        <is>
          <t>电子布/PCB待确认；先进制造</t>
        </is>
      </c>
    </row>
    <row r="37">
      <c r="A37" t="inlineStr">
        <is>
          <t>1 板块概念</t>
        </is>
      </c>
      <c r="B37" t="inlineStr">
        <is>
          <t>AI算力/昇腾/CPO</t>
        </is>
      </c>
      <c r="C37" t="inlineStr">
        <is>
          <t/>
        </is>
      </c>
      <c r="D37" t="inlineStr">
        <is>
          <t/>
        </is>
      </c>
      <c r="E37" t="inlineStr">
        <is>
          <t/>
        </is>
      </c>
      <c r="F37" t="inlineStr">
        <is>
          <t>AI算力/昇腾/CPO</t>
        </is>
      </c>
      <c r="G37" t="inlineStr">
        <is>
          <t>板块概念</t>
        </is>
      </c>
      <c r="H37" t="inlineStr">
        <is>
          <t/>
        </is>
      </c>
      <c r="I37" t="inlineStr">
        <is>
          <t/>
        </is>
      </c>
      <c r="J37" t="inlineStr">
        <is>
          <t/>
        </is>
      </c>
      <c r="K37" t="inlineStr">
        <is>
          <t>华为昇腾、AI算力、CPO/光模块、高速连接、数据中心温控和散热链条。</t>
        </is>
      </c>
    </row>
    <row r="38">
      <c r="A38" t="inlineStr">
        <is>
          <t>3 个股/指数</t>
        </is>
      </c>
      <c r="B38" t="inlineStr">
        <is>
          <t>AI算力/昇腾/CPO</t>
        </is>
      </c>
      <c r="C38" t="inlineStr">
        <is>
          <t/>
        </is>
      </c>
      <c r="D38" t="inlineStr">
        <is>
          <t>华为昇腾</t>
        </is>
      </c>
      <c r="E38" t="inlineStr">
        <is>
          <t>BK0995</t>
        </is>
      </c>
      <c r="F38" t="inlineStr">
        <is>
          <t>华为昇腾</t>
        </is>
      </c>
      <c r="G38" t="inlineStr">
        <is>
          <t>板块概念</t>
        </is>
      </c>
      <c r="H38" t="inlineStr">
        <is>
          <t/>
        </is>
      </c>
      <c r="I38" t="inlineStr">
        <is>
          <t/>
        </is>
      </c>
      <c r="J38" t="inlineStr">
        <is>
          <t/>
        </is>
      </c>
      <c r="K38" t="inlineStr">
        <is>
          <t>华为昇腾；AI算力</t>
        </is>
      </c>
    </row>
    <row r="39">
      <c r="A39" t="inlineStr">
        <is>
          <t>3 个股/指数</t>
        </is>
      </c>
      <c r="B39" t="inlineStr">
        <is>
          <t>AI算力/昇腾/CPO</t>
        </is>
      </c>
      <c r="C39" t="inlineStr">
        <is>
          <t/>
        </is>
      </c>
      <c r="D39" t="inlineStr">
        <is>
          <t>中石科技</t>
        </is>
      </c>
      <c r="E39" t="inlineStr">
        <is>
          <t>300684</t>
        </is>
      </c>
      <c r="F39" t="inlineStr">
        <is>
          <t>中石科技</t>
        </is>
      </c>
      <c r="G39" t="inlineStr">
        <is>
          <t>个股</t>
        </is>
      </c>
      <c r="H39" t="inlineStr">
        <is>
          <t>电子元件与存储</t>
        </is>
      </c>
      <c r="I39" t="inlineStr">
        <is>
          <t>17.93%</t>
        </is>
      </c>
      <c r="J39" t="str">
        <f>HYPERLINK("kline_charts/300684_中石科技.html","打开K线图")</f>
        <v>打开K线图</v>
      </c>
      <c r="K39" t="inlineStr">
        <is>
          <t>AI算力；散热材料；消费电子</t>
        </is>
      </c>
    </row>
    <row r="40">
      <c r="A40" t="inlineStr">
        <is>
          <t>3 个股/指数</t>
        </is>
      </c>
      <c r="B40" t="inlineStr">
        <is>
          <t>AI算力/昇腾/CPO</t>
        </is>
      </c>
      <c r="C40" t="inlineStr">
        <is>
          <t/>
        </is>
      </c>
      <c r="D40" t="inlineStr">
        <is>
          <t>中际旭创</t>
        </is>
      </c>
      <c r="E40" t="inlineStr">
        <is>
          <t>300308</t>
        </is>
      </c>
      <c r="F40" t="inlineStr">
        <is>
          <t>中际旭创</t>
        </is>
      </c>
      <c r="G40" t="inlineStr">
        <is>
          <t>个股</t>
        </is>
      </c>
      <c r="H40" t="inlineStr">
        <is>
          <t/>
        </is>
      </c>
      <c r="I40" t="inlineStr">
        <is>
          <t>-2.88%</t>
        </is>
      </c>
      <c r="J40" t="str">
        <f>HYPERLINK("kline_charts/300308_中际旭创.html","打开K线图")</f>
        <v>打开K线图</v>
      </c>
      <c r="K40" t="inlineStr">
        <is>
          <t>AI算力；CPO；光模块</t>
        </is>
      </c>
    </row>
    <row r="41">
      <c r="A41" t="inlineStr">
        <is>
          <t>3 个股/指数</t>
        </is>
      </c>
      <c r="B41" t="inlineStr">
        <is>
          <t>AI算力/昇腾/CPO</t>
        </is>
      </c>
      <c r="C41" t="inlineStr">
        <is>
          <t/>
        </is>
      </c>
      <c r="D41" t="inlineStr">
        <is>
          <t>华丰科技</t>
        </is>
      </c>
      <c r="E41" t="inlineStr">
        <is>
          <t>688629</t>
        </is>
      </c>
      <c r="F41" t="inlineStr">
        <is>
          <t>华丰科技</t>
        </is>
      </c>
      <c r="G41" t="inlineStr">
        <is>
          <t>个股</t>
        </is>
      </c>
      <c r="H41" t="inlineStr">
        <is>
          <t/>
        </is>
      </c>
      <c r="I41" t="inlineStr">
        <is>
          <t>54.29%</t>
        </is>
      </c>
      <c r="J41" t="str">
        <f>HYPERLINK("kline_charts/688629_华丰科技.html","打开K线图")</f>
        <v>打开K线图</v>
      </c>
      <c r="K41" t="inlineStr">
        <is>
          <t>华为昇腾；AI算力；高速连接器</t>
        </is>
      </c>
    </row>
    <row r="42">
      <c r="A42" t="inlineStr">
        <is>
          <t>3 个股/指数</t>
        </is>
      </c>
      <c r="B42" t="inlineStr">
        <is>
          <t>AI算力/昇腾/CPO</t>
        </is>
      </c>
      <c r="C42" t="inlineStr">
        <is>
          <t/>
        </is>
      </c>
      <c r="D42" t="inlineStr">
        <is>
          <t>新易盛</t>
        </is>
      </c>
      <c r="E42" t="inlineStr">
        <is>
          <t>300502</t>
        </is>
      </c>
      <c r="F42" t="inlineStr">
        <is>
          <t>新易盛</t>
        </is>
      </c>
      <c r="G42" t="inlineStr">
        <is>
          <t>个股</t>
        </is>
      </c>
      <c r="H42" t="inlineStr">
        <is>
          <t/>
        </is>
      </c>
      <c r="I42" t="inlineStr">
        <is>
          <t>-7.06%</t>
        </is>
      </c>
      <c r="J42" t="str">
        <f>HYPERLINK("kline_charts/300502_新易盛.html","打开K线图")</f>
        <v>打开K线图</v>
      </c>
      <c r="K42" t="inlineStr">
        <is>
          <t>AI算力；CPO；光模块</t>
        </is>
      </c>
    </row>
    <row r="43">
      <c r="A43" t="inlineStr">
        <is>
          <t>3 个股/指数</t>
        </is>
      </c>
      <c r="B43" t="inlineStr">
        <is>
          <t>AI算力/昇腾/CPO</t>
        </is>
      </c>
      <c r="C43" t="inlineStr">
        <is>
          <t/>
        </is>
      </c>
      <c r="D43" t="inlineStr">
        <is>
          <t>杭电股份</t>
        </is>
      </c>
      <c r="E43" t="inlineStr">
        <is>
          <t>603618</t>
        </is>
      </c>
      <c r="F43" t="inlineStr">
        <is>
          <t>杭电股份</t>
        </is>
      </c>
      <c r="G43" t="inlineStr">
        <is>
          <t>个股</t>
        </is>
      </c>
      <c r="H43" t="inlineStr">
        <is>
          <t/>
        </is>
      </c>
      <c r="I43" t="inlineStr">
        <is>
          <t>-15.78%</t>
        </is>
      </c>
      <c r="J43" t="str">
        <f>HYPERLINK("kline_charts/603618_杭电股份.html","打开K线图")</f>
        <v>打开K线图</v>
      </c>
      <c r="K43" t="inlineStr">
        <is>
          <t>AI算力；铜缆高速连接；电线电缆</t>
        </is>
      </c>
    </row>
    <row r="44">
      <c r="A44" t="inlineStr">
        <is>
          <t>3 个股/指数</t>
        </is>
      </c>
      <c r="B44" t="inlineStr">
        <is>
          <t>AI算力/昇腾/CPO</t>
        </is>
      </c>
      <c r="C44" t="inlineStr">
        <is>
          <t/>
        </is>
      </c>
      <c r="D44" t="inlineStr">
        <is>
          <t>申菱环境</t>
        </is>
      </c>
      <c r="E44" t="inlineStr">
        <is>
          <t>301018</t>
        </is>
      </c>
      <c r="F44" t="inlineStr">
        <is>
          <t>申菱环境</t>
        </is>
      </c>
      <c r="G44" t="inlineStr">
        <is>
          <t>个股</t>
        </is>
      </c>
      <c r="H44" t="inlineStr">
        <is>
          <t/>
        </is>
      </c>
      <c r="I44" t="inlineStr">
        <is>
          <t>9.35%</t>
        </is>
      </c>
      <c r="J44" t="str">
        <f>HYPERLINK("kline_charts/301018_申菱环境.html","打开K线图")</f>
        <v>打开K线图</v>
      </c>
      <c r="K44" t="inlineStr">
        <is>
          <t>AI算力；数据中心温控；液冷</t>
        </is>
      </c>
    </row>
    <row r="45">
      <c r="A45" t="inlineStr">
        <is>
          <t>1 板块概念</t>
        </is>
      </c>
      <c r="B45" t="inlineStr">
        <is>
          <t>机器人/智能制造</t>
        </is>
      </c>
      <c r="C45" t="inlineStr">
        <is>
          <t/>
        </is>
      </c>
      <c r="D45" t="inlineStr">
        <is>
          <t/>
        </is>
      </c>
      <c r="E45" t="inlineStr">
        <is>
          <t/>
        </is>
      </c>
      <c r="F45" t="inlineStr">
        <is>
          <t>机器人/智能制造</t>
        </is>
      </c>
      <c r="G45" t="inlineStr">
        <is>
          <t>板块概念</t>
        </is>
      </c>
      <c r="H45" t="inlineStr">
        <is>
          <t/>
        </is>
      </c>
      <c r="I45" t="inlineStr">
        <is>
          <t/>
        </is>
      </c>
      <c r="J45" t="inlineStr">
        <is>
          <t/>
        </is>
      </c>
      <c r="K45" t="inlineStr">
        <is>
          <t>机器人、智能制造、激光设备、汽车零部件和自动化相关观察池。</t>
        </is>
      </c>
    </row>
    <row r="46">
      <c r="A46" t="inlineStr">
        <is>
          <t>3 个股/指数</t>
        </is>
      </c>
      <c r="B46" t="inlineStr">
        <is>
          <t>机器人/智能制造</t>
        </is>
      </c>
      <c r="C46" t="inlineStr">
        <is>
          <t/>
        </is>
      </c>
      <c r="D46" t="inlineStr">
        <is>
          <t>机器人概念</t>
        </is>
      </c>
      <c r="E46" t="inlineStr">
        <is>
          <t>BK1090</t>
        </is>
      </c>
      <c r="F46" t="inlineStr">
        <is>
          <t>机器人概念</t>
        </is>
      </c>
      <c r="G46" t="inlineStr">
        <is>
          <t>板块概念</t>
        </is>
      </c>
      <c r="H46" t="inlineStr">
        <is>
          <t/>
        </is>
      </c>
      <c r="I46" t="inlineStr">
        <is>
          <t/>
        </is>
      </c>
      <c r="J46" t="inlineStr">
        <is>
          <t/>
        </is>
      </c>
      <c r="K46" t="inlineStr">
        <is>
          <t>机器人板块</t>
        </is>
      </c>
    </row>
    <row r="47">
      <c r="A47" t="inlineStr">
        <is>
          <t>3 个股/指数</t>
        </is>
      </c>
      <c r="B47" t="inlineStr">
        <is>
          <t>机器人/智能制造</t>
        </is>
      </c>
      <c r="C47" t="inlineStr">
        <is>
          <t/>
        </is>
      </c>
      <c r="D47" t="inlineStr">
        <is>
          <t>大族激光</t>
        </is>
      </c>
      <c r="E47" t="inlineStr">
        <is>
          <t>002008</t>
        </is>
      </c>
      <c r="F47" t="inlineStr">
        <is>
          <t>大族激光</t>
        </is>
      </c>
      <c r="G47" t="inlineStr">
        <is>
          <t>个股</t>
        </is>
      </c>
      <c r="H47" t="inlineStr">
        <is>
          <t/>
        </is>
      </c>
      <c r="I47" t="inlineStr">
        <is>
          <t>0.17%</t>
        </is>
      </c>
      <c r="J47" t="str">
        <f>HYPERLINK("kline_charts/002008_大族激光.html","打开K线图")</f>
        <v>打开K线图</v>
      </c>
      <c r="K47" t="inlineStr">
        <is>
          <t>机器人；智能制造；激光设备</t>
        </is>
      </c>
    </row>
    <row r="48">
      <c r="A48" t="inlineStr">
        <is>
          <t>3 个股/指数</t>
        </is>
      </c>
      <c r="B48" t="inlineStr">
        <is>
          <t>机器人/智能制造</t>
        </is>
      </c>
      <c r="C48" t="inlineStr">
        <is>
          <t/>
        </is>
      </c>
      <c r="D48" t="inlineStr">
        <is>
          <t>昊志机电</t>
        </is>
      </c>
      <c r="E48" t="inlineStr">
        <is>
          <t>300503</t>
        </is>
      </c>
      <c r="F48" t="inlineStr">
        <is>
          <t>昊志机电</t>
        </is>
      </c>
      <c r="G48" t="inlineStr">
        <is>
          <t>个股</t>
        </is>
      </c>
      <c r="H48" t="inlineStr">
        <is>
          <t/>
        </is>
      </c>
      <c r="I48" t="inlineStr">
        <is>
          <t>-0.35%</t>
        </is>
      </c>
      <c r="J48" t="str">
        <f>HYPERLINK("kline_charts/300503_昊志机电.html","打开K线图")</f>
        <v>打开K线图</v>
      </c>
      <c r="K48" t="inlineStr">
        <is>
          <t>机器人；电主轴；伺服系统；工业母机</t>
        </is>
      </c>
    </row>
    <row r="49">
      <c r="A49" t="inlineStr">
        <is>
          <t>3 个股/指数</t>
        </is>
      </c>
      <c r="B49" t="inlineStr">
        <is>
          <t>机器人/智能制造</t>
        </is>
      </c>
      <c r="C49" t="inlineStr">
        <is>
          <t/>
        </is>
      </c>
      <c r="D49" t="inlineStr">
        <is>
          <t>福赛科技</t>
        </is>
      </c>
      <c r="E49" t="inlineStr">
        <is>
          <t>301529</t>
        </is>
      </c>
      <c r="F49" t="inlineStr">
        <is>
          <t>福赛科技</t>
        </is>
      </c>
      <c r="G49" t="inlineStr">
        <is>
          <t>个股</t>
        </is>
      </c>
      <c r="H49" t="inlineStr">
        <is>
          <t/>
        </is>
      </c>
      <c r="I49" t="inlineStr">
        <is>
          <t>-8.44%</t>
        </is>
      </c>
      <c r="J49" t="str">
        <f>HYPERLINK("kline_charts/301529_福赛科技.html","打开K线图")</f>
        <v>打开K线图</v>
      </c>
      <c r="K49" t="inlineStr">
        <is>
          <t>机器人/汽车零部件待确认</t>
        </is>
      </c>
    </row>
    <row r="50">
      <c r="A50" t="inlineStr">
        <is>
          <t>3 个股/指数</t>
        </is>
      </c>
      <c r="B50" t="inlineStr">
        <is>
          <t>机器人/智能制造</t>
        </is>
      </c>
      <c r="C50" t="inlineStr">
        <is>
          <t/>
        </is>
      </c>
      <c r="D50" t="inlineStr">
        <is>
          <t>绿的谐波</t>
        </is>
      </c>
      <c r="E50" t="inlineStr">
        <is>
          <t>688017</t>
        </is>
      </c>
      <c r="F50" t="inlineStr">
        <is>
          <t>绿的谐波</t>
        </is>
      </c>
      <c r="G50" t="inlineStr">
        <is>
          <t>个股</t>
        </is>
      </c>
      <c r="H50" t="inlineStr">
        <is>
          <t/>
        </is>
      </c>
      <c r="I50" t="inlineStr">
        <is>
          <t>-6.01%</t>
        </is>
      </c>
      <c r="J50" t="str">
        <f>HYPERLINK("kline_charts/688017_绿的谐波.html","打开K线图")</f>
        <v>打开K线图</v>
      </c>
      <c r="K50" t="inlineStr">
        <is>
          <t>机器人；谐波减速器；人形机器人</t>
        </is>
      </c>
    </row>
    <row r="51">
      <c r="A51" t="inlineStr">
        <is>
          <t>3 个股/指数</t>
        </is>
      </c>
      <c r="B51" t="inlineStr">
        <is>
          <t>机器人/智能制造</t>
        </is>
      </c>
      <c r="C51" t="inlineStr">
        <is>
          <t/>
        </is>
      </c>
      <c r="D51" t="inlineStr">
        <is>
          <t>超捷股份</t>
        </is>
      </c>
      <c r="E51" t="inlineStr">
        <is>
          <t>301005</t>
        </is>
      </c>
      <c r="F51" t="inlineStr">
        <is>
          <t>超捷股份</t>
        </is>
      </c>
      <c r="G51" t="inlineStr">
        <is>
          <t>个股</t>
        </is>
      </c>
      <c r="H51" t="inlineStr">
        <is>
          <t>商业航天</t>
        </is>
      </c>
      <c r="I51" t="inlineStr">
        <is>
          <t>-3.19%</t>
        </is>
      </c>
      <c r="J51" t="str">
        <f>HYPERLINK("kline_charts/301005_超捷股份.html","打开K线图")</f>
        <v>打开K线图</v>
      </c>
      <c r="K51" t="inlineStr">
        <is>
          <t>机器人；汽车零部件；商业航天待确认</t>
        </is>
      </c>
    </row>
    <row r="52">
      <c r="A52" t="inlineStr">
        <is>
          <t>3 个股/指数</t>
        </is>
      </c>
      <c r="B52" t="inlineStr">
        <is>
          <t>机器人/智能制造</t>
        </is>
      </c>
      <c r="C52" t="inlineStr">
        <is>
          <t/>
        </is>
      </c>
      <c r="D52" t="inlineStr">
        <is>
          <t>达实智能</t>
        </is>
      </c>
      <c r="E52" t="inlineStr">
        <is>
          <t>002421</t>
        </is>
      </c>
      <c r="F52" t="inlineStr">
        <is>
          <t>达实智能</t>
        </is>
      </c>
      <c r="G52" t="inlineStr">
        <is>
          <t>个股</t>
        </is>
      </c>
      <c r="H52" t="inlineStr">
        <is>
          <t/>
        </is>
      </c>
      <c r="I52" t="inlineStr">
        <is>
          <t>-47.37%</t>
        </is>
      </c>
      <c r="J52" t="str">
        <f>HYPERLINK("kline_charts/002421_达实智能.html","打开K线图")</f>
        <v>打开K线图</v>
      </c>
      <c r="K52" t="inlineStr">
        <is>
          <t>机器人；智能建筑；物联网</t>
        </is>
      </c>
    </row>
    <row r="53">
      <c r="A53" t="inlineStr">
        <is>
          <t>1 板块概念</t>
        </is>
      </c>
      <c r="B53" t="inlineStr">
        <is>
          <t>商业航天</t>
        </is>
      </c>
      <c r="C53" t="inlineStr">
        <is>
          <t/>
        </is>
      </c>
      <c r="D53" t="inlineStr">
        <is>
          <t/>
        </is>
      </c>
      <c r="E53" t="inlineStr">
        <is>
          <t/>
        </is>
      </c>
      <c r="F53" t="inlineStr">
        <is>
          <t>商业航天</t>
        </is>
      </c>
      <c r="G53" t="inlineStr">
        <is>
          <t>板块概念</t>
        </is>
      </c>
      <c r="H53" t="inlineStr">
        <is>
          <t/>
        </is>
      </c>
      <c r="I53" t="inlineStr">
        <is>
          <t/>
        </is>
      </c>
      <c r="J53" t="inlineStr">
        <is>
          <t/>
        </is>
      </c>
      <c r="K53" t="inlineStr">
        <is>
          <t>商业航天、天线、航天制造及可回收商业航天相关观察池。</t>
        </is>
      </c>
    </row>
    <row r="54">
      <c r="A54" t="inlineStr">
        <is>
          <t>3 个股/指数</t>
        </is>
      </c>
      <c r="B54" t="inlineStr">
        <is>
          <t>商业航天</t>
        </is>
      </c>
      <c r="C54" t="inlineStr">
        <is>
          <t/>
        </is>
      </c>
      <c r="D54" t="inlineStr">
        <is>
          <t>可回收商业航天</t>
        </is>
      </c>
      <c r="E54" t="inlineStr">
        <is>
          <t>CUSTOM_可回收商业航天</t>
        </is>
      </c>
      <c r="F54" t="inlineStr">
        <is>
          <t>可回收商业航天</t>
        </is>
      </c>
      <c r="G54" t="inlineStr">
        <is>
          <t>板块概念</t>
        </is>
      </c>
      <c r="H54" t="inlineStr">
        <is>
          <t/>
        </is>
      </c>
      <c r="I54" t="inlineStr">
        <is>
          <t/>
        </is>
      </c>
      <c r="J54" t="inlineStr">
        <is>
          <t/>
        </is>
      </c>
      <c r="K54" t="inlineStr">
        <is>
          <t>可回收商业航天</t>
        </is>
      </c>
    </row>
    <row r="55">
      <c r="A55" t="inlineStr">
        <is>
          <t>3 个股/指数</t>
        </is>
      </c>
      <c r="B55" t="inlineStr">
        <is>
          <t>商业航天</t>
        </is>
      </c>
      <c r="C55" t="inlineStr">
        <is>
          <t/>
        </is>
      </c>
      <c r="D55" t="inlineStr">
        <is>
          <t>商业航天</t>
        </is>
      </c>
      <c r="E55" t="inlineStr">
        <is>
          <t>BK0963</t>
        </is>
      </c>
      <c r="F55" t="inlineStr">
        <is>
          <t>商业航天</t>
        </is>
      </c>
      <c r="G55" t="inlineStr">
        <is>
          <t>板块概念</t>
        </is>
      </c>
      <c r="H55" t="inlineStr">
        <is>
          <t/>
        </is>
      </c>
      <c r="I55" t="inlineStr">
        <is>
          <t>-7.94%</t>
        </is>
      </c>
      <c r="J55" t="str">
        <f>HYPERLINK("kline_charts/BK0963_商业航天.html","打开K线图")</f>
        <v>打开K线图</v>
      </c>
      <c r="K55" t="inlineStr">
        <is>
          <t>商业航天</t>
        </is>
      </c>
    </row>
    <row r="56">
      <c r="A56" t="inlineStr">
        <is>
          <t>3 个股/指数</t>
        </is>
      </c>
      <c r="B56" t="inlineStr">
        <is>
          <t>商业航天</t>
        </is>
      </c>
      <c r="C56" t="inlineStr">
        <is>
          <t/>
        </is>
      </c>
      <c r="D56" t="inlineStr">
        <is>
          <t>商络电子</t>
        </is>
      </c>
      <c r="E56" t="inlineStr">
        <is>
          <t>300975</t>
        </is>
      </c>
      <c r="F56" t="inlineStr">
        <is>
          <t>商络电子</t>
        </is>
      </c>
      <c r="G56" t="inlineStr">
        <is>
          <t>个股</t>
        </is>
      </c>
      <c r="H56" t="inlineStr">
        <is>
          <t>电子元件与存储</t>
        </is>
      </c>
      <c r="I56" t="inlineStr">
        <is>
          <t>-20.41%</t>
        </is>
      </c>
      <c r="J56" t="str">
        <f>HYPERLINK("kline_charts/300975_商络电子.html","打开K线图")</f>
        <v>打开K线图</v>
      </c>
      <c r="K56" t="inlineStr">
        <is>
          <t>商业航天/电子元器件</t>
        </is>
      </c>
    </row>
    <row r="57">
      <c r="A57" t="inlineStr">
        <is>
          <t>3 个股/指数</t>
        </is>
      </c>
      <c r="B57" t="inlineStr">
        <is>
          <t>商业航天</t>
        </is>
      </c>
      <c r="C57" t="inlineStr">
        <is>
          <t/>
        </is>
      </c>
      <c r="D57" t="inlineStr">
        <is>
          <t>广联航空</t>
        </is>
      </c>
      <c r="E57" t="inlineStr">
        <is>
          <t>300900</t>
        </is>
      </c>
      <c r="F57" t="inlineStr">
        <is>
          <t>广联航空</t>
        </is>
      </c>
      <c r="G57" t="inlineStr">
        <is>
          <t>个股</t>
        </is>
      </c>
      <c r="H57" t="inlineStr">
        <is>
          <t/>
        </is>
      </c>
      <c r="I57" t="inlineStr">
        <is>
          <t>9.44%</t>
        </is>
      </c>
      <c r="J57" t="str">
        <f>HYPERLINK("kline_charts/300900_广联航空.html","打开K线图")</f>
        <v>打开K线图</v>
      </c>
      <c r="K57" t="inlineStr">
        <is>
          <t>商业航天</t>
        </is>
      </c>
    </row>
    <row r="58">
      <c r="A58" t="inlineStr">
        <is>
          <t>3 个股/指数</t>
        </is>
      </c>
      <c r="B58" t="inlineStr">
        <is>
          <t>商业航天</t>
        </is>
      </c>
      <c r="C58" t="inlineStr">
        <is>
          <t/>
        </is>
      </c>
      <c r="D58" t="inlineStr">
        <is>
          <t>航天电器</t>
        </is>
      </c>
      <c r="E58" t="inlineStr">
        <is>
          <t>002025</t>
        </is>
      </c>
      <c r="F58" t="inlineStr">
        <is>
          <t>航天电器</t>
        </is>
      </c>
      <c r="G58" t="inlineStr">
        <is>
          <t>个股</t>
        </is>
      </c>
      <c r="H58" t="inlineStr">
        <is>
          <t>电子元件与存储</t>
        </is>
      </c>
      <c r="I58" t="inlineStr">
        <is>
          <t>30.64%</t>
        </is>
      </c>
      <c r="J58" t="str">
        <f>HYPERLINK("kline_charts/002025_航天电器.html","打开K线图")</f>
        <v>打开K线图</v>
      </c>
      <c r="K58" t="inlineStr">
        <is>
          <t>商业航天；连接器</t>
        </is>
      </c>
    </row>
    <row r="59">
      <c r="A59" t="inlineStr">
        <is>
          <t>3 个股/指数</t>
        </is>
      </c>
      <c r="B59" t="inlineStr">
        <is>
          <t>商业航天</t>
        </is>
      </c>
      <c r="C59" t="inlineStr">
        <is>
          <t/>
        </is>
      </c>
      <c r="D59" t="inlineStr">
        <is>
          <t>铖昌科技</t>
        </is>
      </c>
      <c r="E59" t="inlineStr">
        <is>
          <t>001270</t>
        </is>
      </c>
      <c r="F59" t="inlineStr">
        <is>
          <t>铖昌科技</t>
        </is>
      </c>
      <c r="G59" t="inlineStr">
        <is>
          <t>个股</t>
        </is>
      </c>
      <c r="H59" t="inlineStr">
        <is>
          <t>半导体材料与设备</t>
        </is>
      </c>
      <c r="I59" t="inlineStr">
        <is>
          <t>8.26%</t>
        </is>
      </c>
      <c r="J59" t="str">
        <f>HYPERLINK("kline_charts/001270_铖昌科技.html","打开K线图")</f>
        <v>打开K线图</v>
      </c>
      <c r="K59" t="inlineStr">
        <is>
          <t>商业航天；天线相关</t>
        </is>
      </c>
    </row>
    <row r="60">
      <c r="A60" t="inlineStr">
        <is>
          <t>1 板块概念</t>
        </is>
      </c>
      <c r="B60" t="inlineStr">
        <is>
          <t>电子元件与存储</t>
        </is>
      </c>
      <c r="C60" t="inlineStr">
        <is>
          <t/>
        </is>
      </c>
      <c r="D60" t="inlineStr">
        <is>
          <t/>
        </is>
      </c>
      <c r="E60" t="inlineStr">
        <is>
          <t/>
        </is>
      </c>
      <c r="F60" t="inlineStr">
        <is>
          <t>电子元件与存储</t>
        </is>
      </c>
      <c r="G60" t="inlineStr">
        <is>
          <t>板块概念</t>
        </is>
      </c>
      <c r="H60" t="inlineStr">
        <is>
          <t/>
        </is>
      </c>
      <c r="I60" t="inlineStr">
        <is>
          <t/>
        </is>
      </c>
      <c r="J60" t="inlineStr">
        <is>
          <t/>
        </is>
      </c>
      <c r="K60" t="inlineStr">
        <is>
          <t>被动元件、电子元器件、存储和半导体应用链条。</t>
        </is>
      </c>
    </row>
    <row r="61">
      <c r="A61" t="inlineStr">
        <is>
          <t>3 个股/指数</t>
        </is>
      </c>
      <c r="B61" t="inlineStr">
        <is>
          <t>电子元件与存储</t>
        </is>
      </c>
      <c r="C61" t="inlineStr">
        <is>
          <t/>
        </is>
      </c>
      <c r="D61" t="inlineStr">
        <is>
          <t>兆易创新</t>
        </is>
      </c>
      <c r="E61" t="inlineStr">
        <is>
          <t>603986</t>
        </is>
      </c>
      <c r="F61" t="inlineStr">
        <is>
          <t>兆易创新</t>
        </is>
      </c>
      <c r="G61" t="inlineStr">
        <is>
          <t>个股</t>
        </is>
      </c>
      <c r="H61" t="inlineStr">
        <is>
          <t>半导体材料与设备</t>
        </is>
      </c>
      <c r="I61" t="inlineStr">
        <is>
          <t>27.87%</t>
        </is>
      </c>
      <c r="J61" t="str">
        <f>HYPERLINK("kline_charts/603986_兆易创新.html","打开K线图")</f>
        <v>打开K线图</v>
      </c>
      <c r="K61" t="inlineStr">
        <is>
          <t>存储；半导体；MCU</t>
        </is>
      </c>
    </row>
    <row r="62">
      <c r="A62" t="inlineStr">
        <is>
          <t>3 个股/指数</t>
        </is>
      </c>
      <c r="B62" t="inlineStr">
        <is>
          <t>电子元件与存储</t>
        </is>
      </c>
      <c r="C62" t="inlineStr">
        <is>
          <t/>
        </is>
      </c>
      <c r="D62" t="inlineStr">
        <is>
          <t>奕东电子</t>
        </is>
      </c>
      <c r="E62" t="inlineStr">
        <is>
          <t>301123</t>
        </is>
      </c>
      <c r="F62" t="inlineStr">
        <is>
          <t>奕东电子</t>
        </is>
      </c>
      <c r="G62" t="inlineStr">
        <is>
          <t>个股</t>
        </is>
      </c>
      <c r="H62" t="inlineStr">
        <is>
          <t/>
        </is>
      </c>
      <c r="I62" t="inlineStr">
        <is>
          <t>-7.57%</t>
        </is>
      </c>
      <c r="J62" t="str">
        <f>HYPERLINK("kline_charts/301123_奕东电子.html","打开K线图")</f>
        <v>打开K线图</v>
      </c>
      <c r="K62" t="inlineStr">
        <is>
          <t>电子元件；连接器；FPC</t>
        </is>
      </c>
    </row>
    <row r="63">
      <c r="A63" t="inlineStr">
        <is>
          <t>3 个股/指数</t>
        </is>
      </c>
      <c r="B63" t="inlineStr">
        <is>
          <t>电子元件与存储</t>
        </is>
      </c>
      <c r="C63" t="inlineStr">
        <is>
          <t/>
        </is>
      </c>
      <c r="D63" t="inlineStr">
        <is>
          <t>旭光电子</t>
        </is>
      </c>
      <c r="E63" t="inlineStr">
        <is>
          <t>600353</t>
        </is>
      </c>
      <c r="F63" t="inlineStr">
        <is>
          <t>旭光电子</t>
        </is>
      </c>
      <c r="G63" t="inlineStr">
        <is>
          <t>个股</t>
        </is>
      </c>
      <c r="H63" t="inlineStr">
        <is>
          <t/>
        </is>
      </c>
      <c r="I63" t="inlineStr">
        <is>
          <t>56.69%</t>
        </is>
      </c>
      <c r="J63" t="str">
        <f>HYPERLINK("kline_charts/600353_旭光电子.html","打开K线图")</f>
        <v>打开K线图</v>
      </c>
      <c r="K63" t="inlineStr">
        <is>
          <t>电子元件；真空器件；陶瓷材料</t>
        </is>
      </c>
    </row>
    <row r="64">
      <c r="A64" t="inlineStr">
        <is>
          <t>3 个股/指数</t>
        </is>
      </c>
      <c r="B64" t="inlineStr">
        <is>
          <t>电子元件与存储</t>
        </is>
      </c>
      <c r="C64" t="inlineStr">
        <is>
          <t/>
        </is>
      </c>
      <c r="D64" t="inlineStr">
        <is>
          <t>江波龙</t>
        </is>
      </c>
      <c r="E64" t="inlineStr">
        <is>
          <t>301308</t>
        </is>
      </c>
      <c r="F64" t="inlineStr">
        <is>
          <t>江波龙</t>
        </is>
      </c>
      <c r="G64" t="inlineStr">
        <is>
          <t>个股</t>
        </is>
      </c>
      <c r="H64" t="inlineStr">
        <is>
          <t>半导体材料与设备</t>
        </is>
      </c>
      <c r="I64" t="inlineStr">
        <is>
          <t>16.78%</t>
        </is>
      </c>
      <c r="J64" t="str">
        <f>HYPERLINK("kline_charts/301308_江波龙.html","打开K线图")</f>
        <v>打开K线图</v>
      </c>
      <c r="K64" t="inlineStr">
        <is>
          <t>存储/半导体</t>
        </is>
      </c>
    </row>
    <row r="65">
      <c r="A65" t="inlineStr">
        <is>
          <t>3 个股/指数</t>
        </is>
      </c>
      <c r="B65" t="inlineStr">
        <is>
          <t>电子元件与存储</t>
        </is>
      </c>
      <c r="C65" t="inlineStr">
        <is>
          <t/>
        </is>
      </c>
      <c r="D65" t="inlineStr">
        <is>
          <t>顺络电子</t>
        </is>
      </c>
      <c r="E65" t="inlineStr">
        <is>
          <t>002138</t>
        </is>
      </c>
      <c r="F65" t="inlineStr">
        <is>
          <t>顺络电子</t>
        </is>
      </c>
      <c r="G65" t="inlineStr">
        <is>
          <t>个股</t>
        </is>
      </c>
      <c r="H65" t="inlineStr">
        <is>
          <t/>
        </is>
      </c>
      <c r="I65" t="inlineStr">
        <is>
          <t>-8.92%</t>
        </is>
      </c>
      <c r="J65" t="str">
        <f>HYPERLINK("kline_charts/002138_顺络电子.html","打开K线图")</f>
        <v>打开K线图</v>
      </c>
      <c r="K65" t="inlineStr">
        <is>
          <t>电子元件</t>
        </is>
      </c>
    </row>
    <row r="66">
      <c r="A66" t="inlineStr">
        <is>
          <t>3 个股/指数</t>
        </is>
      </c>
      <c r="B66" t="inlineStr">
        <is>
          <t>电子元件与存储</t>
        </is>
      </c>
      <c r="C66" t="inlineStr">
        <is>
          <t/>
        </is>
      </c>
      <c r="D66" t="inlineStr">
        <is>
          <t>鸿富瀚</t>
        </is>
      </c>
      <c r="E66" t="inlineStr">
        <is>
          <t>301086</t>
        </is>
      </c>
      <c r="F66" t="inlineStr">
        <is>
          <t>鸿富瀚</t>
        </is>
      </c>
      <c r="G66" t="inlineStr">
        <is>
          <t>个股</t>
        </is>
      </c>
      <c r="H66" t="inlineStr">
        <is>
          <t/>
        </is>
      </c>
      <c r="I66" t="inlineStr">
        <is>
          <t>17.54%</t>
        </is>
      </c>
      <c r="J66" t="str">
        <f>HYPERLINK("kline_charts/301086_鸿富瀚.html","打开K线图")</f>
        <v>打开K线图</v>
      </c>
      <c r="K66" t="inlineStr">
        <is>
          <t>消费电子；AI硬件；功能性材料</t>
        </is>
      </c>
    </row>
    <row r="67">
      <c r="A67" t="inlineStr">
        <is>
          <t>1 板块概念</t>
        </is>
      </c>
      <c r="B67" t="inlineStr">
        <is>
          <t>指数/宽基基金</t>
        </is>
      </c>
      <c r="C67" t="inlineStr">
        <is>
          <t/>
        </is>
      </c>
      <c r="D67" t="inlineStr">
        <is>
          <t/>
        </is>
      </c>
      <c r="E67" t="inlineStr">
        <is>
          <t/>
        </is>
      </c>
      <c r="F67" t="inlineStr">
        <is>
          <t>指数/宽基基金</t>
        </is>
      </c>
      <c r="G67" t="inlineStr">
        <is>
          <t>板块概念</t>
        </is>
      </c>
      <c r="H67" t="inlineStr">
        <is>
          <t/>
        </is>
      </c>
      <c r="I67" t="inlineStr">
        <is>
          <t/>
        </is>
      </c>
      <c r="J67" t="inlineStr">
        <is>
          <t/>
        </is>
      </c>
      <c r="K67" t="inlineStr">
        <is>
          <t>中证500、宽基指数和暂未挂到明确产业主题的基金。</t>
        </is>
      </c>
    </row>
    <row r="68">
      <c r="A68" t="inlineStr">
        <is>
          <t>3 个股/指数</t>
        </is>
      </c>
      <c r="B68" t="inlineStr">
        <is>
          <t>指数/宽基基金</t>
        </is>
      </c>
      <c r="C68" t="inlineStr">
        <is>
          <t/>
        </is>
      </c>
      <c r="D68" t="inlineStr">
        <is>
          <t>中证500</t>
        </is>
      </c>
      <c r="E68" t="inlineStr">
        <is>
          <t>000905</t>
        </is>
      </c>
      <c r="F68" t="inlineStr">
        <is>
          <t>中证500</t>
        </is>
      </c>
      <c r="G68" t="inlineStr">
        <is>
          <t>指数</t>
        </is>
      </c>
      <c r="H68" t="inlineStr">
        <is>
          <t/>
        </is>
      </c>
      <c r="I68" t="inlineStr">
        <is>
          <t>2.03%</t>
        </is>
      </c>
      <c r="J68" t="str">
        <f>HYPERLINK("kline_charts/000905_中证500.html","打开K线图")</f>
        <v>打开K线图</v>
      </c>
      <c r="K68" t="inlineStr">
        <is>
          <t>中证500指数</t>
        </is>
      </c>
    </row>
    <row r="69">
      <c r="A69" t="inlineStr">
        <is>
          <t>2 ETF/基金</t>
        </is>
      </c>
      <c r="B69" t="inlineStr">
        <is>
          <t>指数/宽基基金</t>
        </is>
      </c>
      <c r="C69" t="inlineStr">
        <is>
          <t>国联安科创LOF</t>
        </is>
      </c>
      <c r="D69" t="inlineStr">
        <is>
          <t/>
        </is>
      </c>
      <c r="E69" t="inlineStr">
        <is>
          <t>501096</t>
        </is>
      </c>
      <c r="F69" t="inlineStr">
        <is>
          <t>国联安科创LOF</t>
        </is>
      </c>
      <c r="G69" t="inlineStr">
        <is>
          <t>ETF/基金</t>
        </is>
      </c>
      <c r="H69" t="inlineStr">
        <is>
          <t/>
        </is>
      </c>
      <c r="I69" t="inlineStr">
        <is>
          <t>23.27%</t>
        </is>
      </c>
      <c r="J69" t="str">
        <f>HYPERLINK("kline_charts/501096_国联安科创LOF.html","打开K线图")</f>
        <v>打开K线图</v>
      </c>
      <c r="K69" t="inlineStr">
        <is>
          <t>基金</t>
        </is>
      </c>
    </row>
    <row r="70">
      <c r="A70" t="inlineStr">
        <is>
          <t>2 ETF/基金</t>
        </is>
      </c>
      <c r="B70" t="inlineStr">
        <is>
          <t>指数/宽基基金</t>
        </is>
      </c>
      <c r="C70" t="inlineStr">
        <is>
          <t>科创红土LOF</t>
        </is>
      </c>
      <c r="D70" t="inlineStr">
        <is>
          <t/>
        </is>
      </c>
      <c r="E70" t="inlineStr">
        <is>
          <t>501201</t>
        </is>
      </c>
      <c r="F70" t="inlineStr">
        <is>
          <t>科创红土LOF</t>
        </is>
      </c>
      <c r="G70" t="inlineStr">
        <is>
          <t>ETF/基金</t>
        </is>
      </c>
      <c r="H70" t="inlineStr">
        <is>
          <t/>
        </is>
      </c>
      <c r="I70" t="inlineStr">
        <is>
          <t>2.24%</t>
        </is>
      </c>
      <c r="J70" t="str">
        <f>HYPERLINK("kline_charts/501201_科创红土LOF.html","打开K线图")</f>
        <v>打开K线图</v>
      </c>
      <c r="K70" t="inlineStr">
        <is>
          <t>基金</t>
        </is>
      </c>
    </row>
    <row r="71">
      <c r="A71" t="inlineStr">
        <is>
          <t>2 ETF/基金</t>
        </is>
      </c>
      <c r="B71" t="inlineStr">
        <is>
          <t>指数/宽基基金</t>
        </is>
      </c>
      <c r="C71" t="inlineStr">
        <is>
          <t>红土创新精选LOF</t>
        </is>
      </c>
      <c r="D71" t="inlineStr">
        <is>
          <t/>
        </is>
      </c>
      <c r="E71" t="inlineStr">
        <is>
          <t>168401</t>
        </is>
      </c>
      <c r="F71" t="inlineStr">
        <is>
          <t>红土创新精选LOF</t>
        </is>
      </c>
      <c r="G71" t="inlineStr">
        <is>
          <t>ETF/基金</t>
        </is>
      </c>
      <c r="H71" t="inlineStr">
        <is>
          <t/>
        </is>
      </c>
      <c r="I71" t="inlineStr">
        <is>
          <t>2.82%</t>
        </is>
      </c>
      <c r="J71" t="str">
        <f>HYPERLINK("kline_charts/168401_红土创新精选LOF.html","打开K线图")</f>
        <v>打开K线图</v>
      </c>
      <c r="K71" t="inlineStr">
        <is>
          <t>基金</t>
        </is>
      </c>
    </row>
    <row r="72">
      <c r="A72" t="inlineStr">
        <is>
          <t>3 个股/指数</t>
        </is>
      </c>
      <c r="B72" t="inlineStr">
        <is>
          <t>指数/宽基基金</t>
        </is>
      </c>
      <c r="C72" t="inlineStr">
        <is>
          <t/>
        </is>
      </c>
      <c r="D72" t="inlineStr">
        <is>
          <t>ST华谊</t>
        </is>
      </c>
      <c r="E72" t="inlineStr">
        <is>
          <t>300027</t>
        </is>
      </c>
      <c r="F72" t="inlineStr">
        <is>
          <t>ST华谊</t>
        </is>
      </c>
      <c r="G72" t="inlineStr">
        <is>
          <t>个股</t>
        </is>
      </c>
      <c r="H72" t="inlineStr">
        <is>
          <t/>
        </is>
      </c>
      <c r="I72" t="inlineStr">
        <is>
          <t>-9.52%</t>
        </is>
      </c>
      <c r="J72" t="str">
        <f>HYPERLINK("kline_charts/300027_ST华谊.html","打开K线图")</f>
        <v>打开K线图</v>
      </c>
      <c r="K72" t="inlineStr">
        <is>
          <t>待确认</t>
        </is>
      </c>
    </row>
    <row r="73">
      <c r="A73" t="inlineStr">
        <is>
          <t>1 板块概念</t>
        </is>
      </c>
      <c r="B73" t="inlineStr">
        <is>
          <t>锂电材料/氟化工</t>
        </is>
      </c>
      <c r="C73" t="inlineStr">
        <is>
          <t/>
        </is>
      </c>
      <c r="D73" t="inlineStr">
        <is>
          <t/>
        </is>
      </c>
      <c r="E73" t="inlineStr">
        <is>
          <t/>
        </is>
      </c>
      <c r="F73" t="inlineStr">
        <is>
          <t>锂电材料/氟化工</t>
        </is>
      </c>
      <c r="G73" t="inlineStr">
        <is>
          <t>板块概念</t>
        </is>
      </c>
      <c r="H73" t="inlineStr">
        <is>
          <t/>
        </is>
      </c>
      <c r="I73" t="inlineStr">
        <is>
          <t/>
        </is>
      </c>
      <c r="J73" t="inlineStr">
        <is>
          <t/>
        </is>
      </c>
      <c r="K73" t="inlineStr">
        <is>
          <t>六氟磷酸锂、LiFSI、VC、电解液、磷酸铁锂与氟化工相关标的。</t>
        </is>
      </c>
    </row>
    <row r="74">
      <c r="A74" t="inlineStr">
        <is>
          <t>3 个股/指数</t>
        </is>
      </c>
      <c r="B74" t="inlineStr">
        <is>
          <t>锂电材料/氟化工</t>
        </is>
      </c>
      <c r="C74" t="inlineStr">
        <is>
          <t/>
        </is>
      </c>
      <c r="D74" t="inlineStr">
        <is>
          <t>多氟多</t>
        </is>
      </c>
      <c r="E74" t="inlineStr">
        <is>
          <t>002407</t>
        </is>
      </c>
      <c r="F74" t="inlineStr">
        <is>
          <t>多氟多</t>
        </is>
      </c>
      <c r="G74" t="inlineStr">
        <is>
          <t>个股</t>
        </is>
      </c>
      <c r="H74" t="inlineStr">
        <is>
          <t/>
        </is>
      </c>
      <c r="I74" t="inlineStr">
        <is>
          <t>20.74%</t>
        </is>
      </c>
      <c r="J74" t="str">
        <f>HYPERLINK("kline_charts/002407_多氟多.html","打开K线图")</f>
        <v>打开K线图</v>
      </c>
      <c r="K74" t="inlineStr">
        <is>
          <t>氟化工/锂电材料</t>
        </is>
      </c>
    </row>
    <row r="75">
      <c r="A75" t="inlineStr">
        <is>
          <t>3 个股/指数</t>
        </is>
      </c>
      <c r="B75" t="inlineStr">
        <is>
          <t>锂电材料/氟化工</t>
        </is>
      </c>
      <c r="C75" t="inlineStr">
        <is>
          <t/>
        </is>
      </c>
      <c r="D75" t="inlineStr">
        <is>
          <t>永太科技</t>
        </is>
      </c>
      <c r="E75" t="inlineStr">
        <is>
          <t>002326</t>
        </is>
      </c>
      <c r="F75" t="inlineStr">
        <is>
          <t>永太科技</t>
        </is>
      </c>
      <c r="G75" t="inlineStr">
        <is>
          <t>个股</t>
        </is>
      </c>
      <c r="H75" t="inlineStr">
        <is>
          <t/>
        </is>
      </c>
      <c r="I75" t="inlineStr">
        <is>
          <t>-12.74%</t>
        </is>
      </c>
      <c r="J75" t="str">
        <f>HYPERLINK("kline_charts/002326_永太科技.html","打开K线图")</f>
        <v>打开K线图</v>
      </c>
      <c r="K75" t="inlineStr">
        <is>
          <t>锂电材料；六氟磷酸锂；LiFSI；VC；电解液；新能源车/储能</t>
        </is>
      </c>
    </row>
    <row r="76">
      <c r="A76" t="inlineStr">
        <is>
          <t>3 个股/指数</t>
        </is>
      </c>
      <c r="B76" t="inlineStr">
        <is>
          <t>锂电材料/氟化工</t>
        </is>
      </c>
      <c r="C76" t="inlineStr">
        <is>
          <t/>
        </is>
      </c>
      <c r="D76" t="inlineStr">
        <is>
          <t>璞泰来</t>
        </is>
      </c>
      <c r="E76" t="inlineStr">
        <is>
          <t>603659</t>
        </is>
      </c>
      <c r="F76" t="inlineStr">
        <is>
          <t>璞泰来</t>
        </is>
      </c>
      <c r="G76" t="inlineStr">
        <is>
          <t>个股</t>
        </is>
      </c>
      <c r="H76" t="inlineStr">
        <is>
          <t/>
        </is>
      </c>
      <c r="I76" t="inlineStr">
        <is>
          <t>-11.25%</t>
        </is>
      </c>
      <c r="J76" t="str">
        <f>HYPERLINK("kline_charts/603659_璞泰来.html","打开K线图")</f>
        <v>打开K线图</v>
      </c>
      <c r="K76" t="inlineStr">
        <is>
          <t>锂电材料；负极材料；涂覆隔膜</t>
        </is>
      </c>
    </row>
    <row r="77">
      <c r="A77" t="inlineStr">
        <is>
          <t>3 个股/指数</t>
        </is>
      </c>
      <c r="B77" t="inlineStr">
        <is>
          <t>锂电材料/氟化工</t>
        </is>
      </c>
      <c r="C77" t="inlineStr">
        <is>
          <t/>
        </is>
      </c>
      <c r="D77" t="inlineStr">
        <is>
          <t>科达利</t>
        </is>
      </c>
      <c r="E77" t="inlineStr">
        <is>
          <t>002850</t>
        </is>
      </c>
      <c r="F77" t="inlineStr">
        <is>
          <t>科达利</t>
        </is>
      </c>
      <c r="G77" t="inlineStr">
        <is>
          <t>个股</t>
        </is>
      </c>
      <c r="H77" t="inlineStr">
        <is>
          <t>机器人/智能制造</t>
        </is>
      </c>
      <c r="I77" t="inlineStr">
        <is>
          <t>7.05%</t>
        </is>
      </c>
      <c r="J77" t="str">
        <f>HYPERLINK("kline_charts/002850_科达利.html","打开K线图")</f>
        <v>打开K线图</v>
      </c>
      <c r="K77" t="inlineStr">
        <is>
          <t>锂电结构件；机器人供应链待确认</t>
        </is>
      </c>
    </row>
    <row r="78">
      <c r="A78" t="inlineStr">
        <is>
          <t>3 个股/指数</t>
        </is>
      </c>
      <c r="B78" t="inlineStr">
        <is>
          <t>锂电材料/氟化工</t>
        </is>
      </c>
      <c r="C78" t="inlineStr">
        <is>
          <t/>
        </is>
      </c>
      <c r="D78" t="inlineStr">
        <is>
          <t>龙蟠科技</t>
        </is>
      </c>
      <c r="E78" t="inlineStr">
        <is>
          <t>603906</t>
        </is>
      </c>
      <c r="F78" t="inlineStr">
        <is>
          <t>龙蟠科技</t>
        </is>
      </c>
      <c r="G78" t="inlineStr">
        <is>
          <t>个股</t>
        </is>
      </c>
      <c r="H78" t="inlineStr">
        <is>
          <t/>
        </is>
      </c>
      <c r="I78" t="inlineStr">
        <is>
          <t>4.10%</t>
        </is>
      </c>
      <c r="J78" t="str">
        <f>HYPERLINK("kline_charts/603906_龙蟠科技.html","打开K线图")</f>
        <v>打开K线图</v>
      </c>
      <c r="K78" t="inlineStr">
        <is>
          <t>锂电材料</t>
        </is>
      </c>
    </row>
    <row r="79">
      <c r="A79" t="inlineStr">
        <is>
          <t>1 板块概念</t>
        </is>
      </c>
      <c r="B79" t="inlineStr">
        <is>
          <t>光刻胶/电子化学品</t>
        </is>
      </c>
      <c r="C79" t="inlineStr">
        <is>
          <t/>
        </is>
      </c>
      <c r="D79" t="inlineStr">
        <is>
          <t/>
        </is>
      </c>
      <c r="E79" t="inlineStr">
        <is>
          <t/>
        </is>
      </c>
      <c r="F79" t="inlineStr">
        <is>
          <t>光刻胶/电子化学品</t>
        </is>
      </c>
      <c r="G79" t="inlineStr">
        <is>
          <t>板块概念</t>
        </is>
      </c>
      <c r="H79" t="inlineStr">
        <is>
          <t/>
        </is>
      </c>
      <c r="I79" t="inlineStr">
        <is>
          <t/>
        </is>
      </c>
      <c r="J79" t="inlineStr">
        <is>
          <t/>
        </is>
      </c>
      <c r="K79" t="inlineStr">
        <is>
          <t>光刻胶、电子化学品、半导体材料和相关国产替代观察池。</t>
        </is>
      </c>
    </row>
    <row r="80">
      <c r="A80" t="inlineStr">
        <is>
          <t>3 个股/指数</t>
        </is>
      </c>
      <c r="B80" t="inlineStr">
        <is>
          <t>光刻胶/电子化学品</t>
        </is>
      </c>
      <c r="C80" t="inlineStr">
        <is>
          <t/>
        </is>
      </c>
      <c r="D80" t="inlineStr">
        <is>
          <t>光刻胶板块</t>
        </is>
      </c>
      <c r="E80" t="inlineStr">
        <is>
          <t>CUSTOM_光刻胶板块</t>
        </is>
      </c>
      <c r="F80" t="inlineStr">
        <is>
          <t>光刻胶板块</t>
        </is>
      </c>
      <c r="G80" t="inlineStr">
        <is>
          <t>板块概念</t>
        </is>
      </c>
      <c r="H80" t="inlineStr">
        <is>
          <t/>
        </is>
      </c>
      <c r="I80" t="inlineStr">
        <is>
          <t/>
        </is>
      </c>
      <c r="J80" t="inlineStr">
        <is>
          <t/>
        </is>
      </c>
      <c r="K80" t="inlineStr">
        <is>
          <t>光刻胶板块</t>
        </is>
      </c>
    </row>
    <row r="81">
      <c r="A81" t="inlineStr">
        <is>
          <t>3 个股/指数</t>
        </is>
      </c>
      <c r="B81" t="inlineStr">
        <is>
          <t>光刻胶/电子化学品</t>
        </is>
      </c>
      <c r="C81" t="inlineStr">
        <is>
          <t/>
        </is>
      </c>
      <c r="D81" t="inlineStr">
        <is>
          <t>彤程新材</t>
        </is>
      </c>
      <c r="E81" t="inlineStr">
        <is>
          <t>603650</t>
        </is>
      </c>
      <c r="F81" t="inlineStr">
        <is>
          <t>彤程新材</t>
        </is>
      </c>
      <c r="G81" t="inlineStr">
        <is>
          <t>个股</t>
        </is>
      </c>
      <c r="H81" t="inlineStr">
        <is>
          <t>半导体材料与设备</t>
        </is>
      </c>
      <c r="I81" t="inlineStr">
        <is>
          <t>51.52%</t>
        </is>
      </c>
      <c r="J81" t="str">
        <f>HYPERLINK("kline_charts/603650_彤程新材.html","打开K线图")</f>
        <v>打开K线图</v>
      </c>
      <c r="K81" t="inlineStr">
        <is>
          <t>光刻胶；电子化学品；半导体材料</t>
        </is>
      </c>
    </row>
    <row r="82">
      <c r="A82" t="inlineStr">
        <is>
          <t>3 个股/指数</t>
        </is>
      </c>
      <c r="B82" t="inlineStr">
        <is>
          <t>光刻胶/电子化学品</t>
        </is>
      </c>
      <c r="C82" t="inlineStr">
        <is>
          <t/>
        </is>
      </c>
      <c r="D82" t="inlineStr">
        <is>
          <t>晶瑞电材</t>
        </is>
      </c>
      <c r="E82" t="inlineStr">
        <is>
          <t>300655</t>
        </is>
      </c>
      <c r="F82" t="inlineStr">
        <is>
          <t>晶瑞电材</t>
        </is>
      </c>
      <c r="G82" t="inlineStr">
        <is>
          <t>个股</t>
        </is>
      </c>
      <c r="H82" t="inlineStr">
        <is>
          <t>半导体材料与设备</t>
        </is>
      </c>
      <c r="I82" t="inlineStr">
        <is>
          <t>20.69%</t>
        </is>
      </c>
      <c r="J82" t="str">
        <f>HYPERLINK("kline_charts/300655_晶瑞电材.html","打开K线图")</f>
        <v>打开K线图</v>
      </c>
      <c r="K82" t="inlineStr">
        <is>
          <t>电子化学品；光刻胶；半导体材料</t>
        </is>
      </c>
    </row>
    <row r="83">
      <c r="A83" t="inlineStr">
        <is>
          <t>3 个股/指数</t>
        </is>
      </c>
      <c r="B83" t="inlineStr">
        <is>
          <t>光刻胶/电子化学品</t>
        </is>
      </c>
      <c r="C83" t="inlineStr">
        <is>
          <t/>
        </is>
      </c>
      <c r="D83" t="inlineStr">
        <is>
          <t>雅克科技</t>
        </is>
      </c>
      <c r="E83" t="inlineStr">
        <is>
          <t>002409</t>
        </is>
      </c>
      <c r="F83" t="inlineStr">
        <is>
          <t>雅克科技</t>
        </is>
      </c>
      <c r="G83" t="inlineStr">
        <is>
          <t>个股</t>
        </is>
      </c>
      <c r="H83" t="inlineStr">
        <is>
          <t>半导体材料与设备</t>
        </is>
      </c>
      <c r="I83" t="inlineStr">
        <is>
          <t>78.62%</t>
        </is>
      </c>
      <c r="J83" t="str">
        <f>HYPERLINK("kline_charts/002409_雅克科技.html","打开K线图")</f>
        <v>打开K线图</v>
      </c>
      <c r="K83" t="inlineStr">
        <is>
          <t>光刻胶；电子化学品；半导体材料</t>
        </is>
      </c>
    </row>
    <row r="84">
      <c r="A84" t="inlineStr">
        <is>
          <t>1 板块概念</t>
        </is>
      </c>
      <c r="B84" t="inlineStr">
        <is>
          <t>医药观察</t>
        </is>
      </c>
      <c r="C84" t="inlineStr">
        <is>
          <t/>
        </is>
      </c>
      <c r="D84" t="inlineStr">
        <is>
          <t/>
        </is>
      </c>
      <c r="E84" t="inlineStr">
        <is>
          <t/>
        </is>
      </c>
      <c r="F84" t="inlineStr">
        <is>
          <t>医药观察</t>
        </is>
      </c>
      <c r="G84" t="inlineStr">
        <is>
          <t>板块概念</t>
        </is>
      </c>
      <c r="H84" t="inlineStr">
        <is>
          <t/>
        </is>
      </c>
      <c r="I84" t="inlineStr">
        <is>
          <t/>
        </is>
      </c>
      <c r="J84" t="inlineStr">
        <is>
          <t/>
        </is>
      </c>
      <c r="K84" t="inlineStr">
        <is>
          <t>医药、化学制药和医疗健康相关观察池。</t>
        </is>
      </c>
    </row>
    <row r="85">
      <c r="A85" t="inlineStr">
        <is>
          <t>3 个股/指数</t>
        </is>
      </c>
      <c r="B85" t="inlineStr">
        <is>
          <t>医药观察</t>
        </is>
      </c>
      <c r="C85" t="inlineStr">
        <is>
          <t/>
        </is>
      </c>
      <c r="D85" t="inlineStr">
        <is>
          <t>信立泰</t>
        </is>
      </c>
      <c r="E85" t="inlineStr">
        <is>
          <t>002294</t>
        </is>
      </c>
      <c r="F85" t="inlineStr">
        <is>
          <t>信立泰</t>
        </is>
      </c>
      <c r="G85" t="inlineStr">
        <is>
          <t>个股</t>
        </is>
      </c>
      <c r="H85" t="inlineStr">
        <is>
          <t/>
        </is>
      </c>
      <c r="I85" t="inlineStr">
        <is>
          <t>8.67%</t>
        </is>
      </c>
      <c r="J85" t="str">
        <f>HYPERLINK("kline_charts/002294_信立泰.html","打开K线图")</f>
        <v>打开K线图</v>
      </c>
      <c r="K85" t="inlineStr">
        <is>
          <t>医药；创新药；心血管药物</t>
        </is>
      </c>
    </row>
    <row r="86">
      <c r="A86" t="inlineStr">
        <is>
          <t>3 个股/指数</t>
        </is>
      </c>
      <c r="B86" t="inlineStr">
        <is>
          <t>医药观察</t>
        </is>
      </c>
      <c r="C86" t="inlineStr">
        <is>
          <t/>
        </is>
      </c>
      <c r="D86" t="inlineStr">
        <is>
          <t>海南海药</t>
        </is>
      </c>
      <c r="E86" t="inlineStr">
        <is>
          <t>000566</t>
        </is>
      </c>
      <c r="F86" t="inlineStr">
        <is>
          <t>海南海药</t>
        </is>
      </c>
      <c r="G86" t="inlineStr">
        <is>
          <t>个股</t>
        </is>
      </c>
      <c r="H86" t="inlineStr">
        <is>
          <t/>
        </is>
      </c>
      <c r="I86" t="inlineStr">
        <is>
          <t>21.03%</t>
        </is>
      </c>
      <c r="J86" t="str">
        <f>HYPERLINK("kline_charts/000566_海南海药.html","打开K线图")</f>
        <v>打开K线图</v>
      </c>
      <c r="K86" t="inlineStr">
        <is>
          <t>医药</t>
        </is>
      </c>
    </row>
    <row r="87">
      <c r="A87" t="inlineStr">
        <is>
          <t>1 板块概念</t>
        </is>
      </c>
      <c r="B87" t="inlineStr">
        <is>
          <t>能源装备/燃气轮机待确认</t>
        </is>
      </c>
      <c r="C87" t="inlineStr">
        <is>
          <t/>
        </is>
      </c>
      <c r="D87" t="inlineStr">
        <is>
          <t/>
        </is>
      </c>
      <c r="E87" t="inlineStr">
        <is>
          <t/>
        </is>
      </c>
      <c r="F87" t="inlineStr">
        <is>
          <t>能源装备/燃气轮机待确认</t>
        </is>
      </c>
      <c r="G87" t="inlineStr">
        <is>
          <t>板块概念</t>
        </is>
      </c>
      <c r="H87" t="inlineStr">
        <is>
          <t/>
        </is>
      </c>
      <c r="I87" t="inlineStr">
        <is>
          <t/>
        </is>
      </c>
      <c r="J87" t="inlineStr">
        <is>
          <t/>
        </is>
      </c>
      <c r="K87" t="inlineStr">
        <is>
          <t>能源装备、风电以及待确认的燃气轮机主题。</t>
        </is>
      </c>
    </row>
    <row r="88">
      <c r="A88" t="inlineStr">
        <is>
          <t>3 个股/指数</t>
        </is>
      </c>
      <c r="B88" t="inlineStr">
        <is>
          <t>能源装备/燃气轮机待确认</t>
        </is>
      </c>
      <c r="C88" t="inlineStr">
        <is>
          <t/>
        </is>
      </c>
      <c r="D88" t="inlineStr">
        <is>
          <t>燃气轮机概念/板块</t>
        </is>
      </c>
      <c r="E88" t="inlineStr">
        <is>
          <t>CUSTOM_燃气轮机概念/板块</t>
        </is>
      </c>
      <c r="F88" t="inlineStr">
        <is>
          <t>燃气轮机概念/板块</t>
        </is>
      </c>
      <c r="G88" t="inlineStr">
        <is>
          <t>板块概念</t>
        </is>
      </c>
      <c r="H88" t="inlineStr">
        <is>
          <t/>
        </is>
      </c>
      <c r="I88" t="inlineStr">
        <is>
          <t/>
        </is>
      </c>
      <c r="J88" t="inlineStr">
        <is>
          <t/>
        </is>
      </c>
      <c r="K88" t="inlineStr">
        <is>
          <t>燃气轮机概念/板块</t>
        </is>
      </c>
    </row>
    <row r="89">
      <c r="A89" t="inlineStr">
        <is>
          <t>3 个股/指数</t>
        </is>
      </c>
      <c r="B89" t="inlineStr">
        <is>
          <t>能源装备/燃气轮机待确认</t>
        </is>
      </c>
      <c r="C89" t="inlineStr">
        <is>
          <t/>
        </is>
      </c>
      <c r="D89" t="inlineStr">
        <is>
          <t>金风科技</t>
        </is>
      </c>
      <c r="E89" t="inlineStr">
        <is>
          <t>002202</t>
        </is>
      </c>
      <c r="F89" t="inlineStr">
        <is>
          <t>金风科技</t>
        </is>
      </c>
      <c r="G89" t="inlineStr">
        <is>
          <t>个股</t>
        </is>
      </c>
      <c r="H89" t="inlineStr">
        <is>
          <t/>
        </is>
      </c>
      <c r="I89" t="inlineStr">
        <is>
          <t>-9.50%</t>
        </is>
      </c>
      <c r="J89" t="str">
        <f>HYPERLINK("kline_charts/002202_金风科技.html","打开K线图")</f>
        <v>打开K线图</v>
      </c>
      <c r="K89" t="inlineStr">
        <is>
          <t>燃气轮机概念/板块（父项未添加，待确认）</t>
        </is>
      </c>
    </row>
    <row r="90">
      <c r="A90" t="inlineStr">
        <is>
          <t>1 板块概念</t>
        </is>
      </c>
      <c r="B90" t="inlineStr">
        <is>
          <t>锗/小金属</t>
        </is>
      </c>
      <c r="C90" t="inlineStr">
        <is>
          <t/>
        </is>
      </c>
      <c r="D90" t="inlineStr">
        <is>
          <t/>
        </is>
      </c>
      <c r="E90" t="inlineStr">
        <is>
          <t/>
        </is>
      </c>
      <c r="F90" t="inlineStr">
        <is>
          <t>锗/小金属</t>
        </is>
      </c>
      <c r="G90" t="inlineStr">
        <is>
          <t>板块概念</t>
        </is>
      </c>
      <c r="H90" t="inlineStr">
        <is>
          <t/>
        </is>
      </c>
      <c r="I90" t="inlineStr">
        <is>
          <t/>
        </is>
      </c>
      <c r="J90" t="inlineStr">
        <is>
          <t/>
        </is>
      </c>
      <c r="K90" t="inlineStr">
        <is>
          <t>锗资源、小金属和有色金属链条。</t>
        </is>
      </c>
    </row>
    <row r="91">
      <c r="A91" t="inlineStr">
        <is>
          <t>3 个股/指数</t>
        </is>
      </c>
      <c r="B91" t="inlineStr">
        <is>
          <t>锗/小金属</t>
        </is>
      </c>
      <c r="C91" t="inlineStr">
        <is>
          <t/>
        </is>
      </c>
      <c r="D91" t="inlineStr">
        <is>
          <t>云南锗业</t>
        </is>
      </c>
      <c r="E91" t="inlineStr">
        <is>
          <t>002428</t>
        </is>
      </c>
      <c r="F91" t="inlineStr">
        <is>
          <t>云南锗业</t>
        </is>
      </c>
      <c r="G91" t="inlineStr">
        <is>
          <t>个股</t>
        </is>
      </c>
      <c r="H91" t="inlineStr">
        <is>
          <t/>
        </is>
      </c>
      <c r="I91" t="inlineStr">
        <is>
          <t>10.51%</t>
        </is>
      </c>
      <c r="J91" t="str">
        <f>HYPERLINK("kline_charts/002428_云南锗业.html","打开K线图")</f>
        <v>打开K线图</v>
      </c>
      <c r="K91" t="inlineStr">
        <is>
          <t>锗/小金属</t>
        </is>
      </c>
    </row>
    <row r="92">
      <c r="A92" t="inlineStr">
        <is>
          <t>3 个股/指数</t>
        </is>
      </c>
      <c r="B92" t="inlineStr">
        <is>
          <t>锗/小金属</t>
        </is>
      </c>
      <c r="C92" t="inlineStr">
        <is>
          <t/>
        </is>
      </c>
      <c r="D92" t="inlineStr">
        <is>
          <t>驰宏锌锗</t>
        </is>
      </c>
      <c r="E92" t="inlineStr">
        <is>
          <t>600497</t>
        </is>
      </c>
      <c r="F92" t="inlineStr">
        <is>
          <t>驰宏锌锗</t>
        </is>
      </c>
      <c r="G92" t="inlineStr">
        <is>
          <t>个股</t>
        </is>
      </c>
      <c r="H92" t="inlineStr">
        <is>
          <t/>
        </is>
      </c>
      <c r="I92" t="inlineStr">
        <is>
          <t>10.06%</t>
        </is>
      </c>
      <c r="J92" t="str">
        <f>HYPERLINK("kline_charts/600497_驰宏锌锗.html","打开K线图")</f>
        <v>打开K线图</v>
      </c>
      <c r="K92" t="inlineStr">
        <is>
          <t>锗/小金属</t>
        </is>
      </c>
    </row>
  </sheetData>
  <autoFilter ref="A1:K92"/>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4</vt:i4>
      </vt:variant>
    </vt:vector>
  </HeadingPairs>
  <TitlesOfParts>
    <vt:vector size="4" baseType="lpstr">
      <vt:lpstr>统计表格</vt:lpstr>
      <vt:lpstr>持有计划</vt:lpstr>
      <vt:lpstr>跳过或待确认</vt:lpstr>
      <vt:lpstr>层级关系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2026-07-09T04:27:54Z</dcterms:created>
  <dcterms:modified xsi:type="dcterms:W3CDTF">2026-07-09T04:27:54Z</dcterms:modified>
</cp:coreProperties>
</file>